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Unique Filled values" sheetId="2" r:id="rId6"/>
    <sheet state="visible" name="model_evidence_waveband Filled " sheetId="3" r:id="rId7"/>
    <sheet state="visible" name="evidence_subcategory Filled val" sheetId="4" r:id="rId8"/>
    <sheet state="visible" name="binary_model_error Filled value" sheetId="5" r:id="rId9"/>
    <sheet state="visible" name="obs_period Filled values" sheetId="6" r:id="rId10"/>
    <sheet state="visible" name="obs_period_error Filled values" sheetId="7" r:id="rId11"/>
  </sheets>
  <definedNames>
    <definedName name="pc_scale_jet_features">Sheet1!$E$38:$E$39</definedName>
    <definedName name="gravitational_wave_emission">Sheet1!$H$38:$H$41</definedName>
    <definedName name="broad_band_SED">Sheet1!$I$38</definedName>
    <definedName name="emission_line_snapshot">Sheet1!$B$38:$B$42</definedName>
    <definedName name="large_scale_jet_features">Sheet1!$F$38:$F$40</definedName>
    <definedName name="spatially_resolved_offset_or_dual_active_nucleus">Sheet1!$D$38:$D$39</definedName>
    <definedName name="continuum_flux_variations">Sheet1!$C$38:$C$41</definedName>
    <definedName name="galaxy_features">Sheet1!$G$38:$G$45</definedName>
    <definedName name="emission_line_variability">Sheet1!$A$38:$A$39</definedName>
  </definedNames>
  <calcPr/>
</workbook>
</file>

<file path=xl/sharedStrings.xml><?xml version="1.0" encoding="utf-8"?>
<sst xmlns="http://schemas.openxmlformats.org/spreadsheetml/2006/main" count="429" uniqueCount="206">
  <si>
    <t>Name</t>
  </si>
  <si>
    <t>observed/deduced/assumed</t>
  </si>
  <si>
    <t>Format</t>
  </si>
  <si>
    <t>Value</t>
  </si>
  <si>
    <t>Error</t>
  </si>
  <si>
    <t>Error type</t>
  </si>
  <si>
    <t>Expected range</t>
  </si>
  <si>
    <t>Units</t>
  </si>
  <si>
    <t>Meaning</t>
  </si>
  <si>
    <t>paper link</t>
  </si>
  <si>
    <t>o</t>
  </si>
  <si>
    <t>string</t>
  </si>
  <si>
    <t>https://ui.adsabs.harvard.edu/abs/2010ApJ...724L.166I/abstract</t>
  </si>
  <si>
    <t>--</t>
  </si>
  <si>
    <t>url</t>
  </si>
  <si>
    <t>ADS link to paper</t>
  </si>
  <si>
    <t>source name</t>
  </si>
  <si>
    <t>3C66B</t>
  </si>
  <si>
    <t>Name of source used in paper</t>
  </si>
  <si>
    <t>eccentricity</t>
  </si>
  <si>
    <t>float</t>
  </si>
  <si>
    <t>0&lt;=e&lt;1</t>
  </si>
  <si>
    <t>unitless</t>
  </si>
  <si>
    <t>Eccentricity (might be modelled, observed or assumed, as with all the parameter values below)</t>
  </si>
  <si>
    <t>log(m1)</t>
  </si>
  <si>
    <t>c/o</t>
  </si>
  <si>
    <t>+0.5,-0.2</t>
  </si>
  <si>
    <t>Two sided</t>
  </si>
  <si>
    <t>&gt;4, &lt;12</t>
  </si>
  <si>
    <t>log(solar mass)</t>
  </si>
  <si>
    <t>Larger black hole mass</t>
  </si>
  <si>
    <t>log(m2)</t>
  </si>
  <si>
    <t>+4.7,-6.4</t>
  </si>
  <si>
    <t>Smaller/other black hole mass</t>
  </si>
  <si>
    <t>log(total mass)</t>
  </si>
  <si>
    <t>+1,-0.8</t>
  </si>
  <si>
    <t>Total mass (modelled from observational data, either binary model or inferred from host properties)</t>
  </si>
  <si>
    <t>log(chirp mass)</t>
  </si>
  <si>
    <t>Chirp mass</t>
  </si>
  <si>
    <t>log(reduced mass)</t>
  </si>
  <si>
    <t>Reduced mass</t>
  </si>
  <si>
    <t>q</t>
  </si>
  <si>
    <t>0&lt;q&lt;=1</t>
  </si>
  <si>
    <t>Black hole mass ratio (defined q&lt;1)</t>
  </si>
  <si>
    <t>evidence type</t>
  </si>
  <si>
    <t>continuum_flux_variations</t>
  </si>
  <si>
    <t>Select from pull-down.</t>
  </si>
  <si>
    <t>semicolon-separated values</t>
  </si>
  <si>
    <t>General evidence type. There may be more than one.</t>
  </si>
  <si>
    <t>evidence type note</t>
  </si>
  <si>
    <t>Continuous light curve variation with periodicity</t>
  </si>
  <si>
    <t>First select "evidence type" then select from pull-down.</t>
  </si>
  <si>
    <t>Detailed evidence type, or note on observation that provided this categorization. Your list here should match up with "evidence type"</t>
  </si>
  <si>
    <t>evidence type waveband</t>
  </si>
  <si>
    <t>Radio</t>
  </si>
  <si>
    <t>radio, gamma, optical, uv</t>
  </si>
  <si>
    <t>Which waveband was the evidence?  Your list here should match up with "evidence type"</t>
  </si>
  <si>
    <t>evidence type2</t>
  </si>
  <si>
    <t>pc_scale_jet_features</t>
  </si>
  <si>
    <t>evidence type note2</t>
  </si>
  <si>
    <t>Time-resolved helical outflow</t>
  </si>
  <si>
    <t>evidence type waveband2</t>
  </si>
  <si>
    <t>evidence type3</t>
  </si>
  <si>
    <t>evidence type note3</t>
  </si>
  <si>
    <t>evidence type waveband3</t>
  </si>
  <si>
    <t>evidence type4</t>
  </si>
  <si>
    <t>evidence type note4</t>
  </si>
  <si>
    <t>evidence type waveband4</t>
  </si>
  <si>
    <t>inclination</t>
  </si>
  <si>
    <t>0-90</t>
  </si>
  <si>
    <t>degree</t>
  </si>
  <si>
    <t>Orbital inclination</t>
  </si>
  <si>
    <t>semi-major axis</t>
  </si>
  <si>
    <t>c/a</t>
  </si>
  <si>
    <t>+1,-0.9</t>
  </si>
  <si>
    <t>0&lt;a&lt;=1000</t>
  </si>
  <si>
    <t>pc</t>
  </si>
  <si>
    <t>Inferred orbital semi-major axis (often assumed to be equal to observed separation)</t>
  </si>
  <si>
    <t>separation</t>
  </si>
  <si>
    <t>0&lt;sep&lt;=1000</t>
  </si>
  <si>
    <t>Observed separation</t>
  </si>
  <si>
    <t>period epoch</t>
  </si>
  <si>
    <t>40000 - current MJD (max allowed in code 70000)</t>
  </si>
  <si>
    <t>mjd</t>
  </si>
  <si>
    <t>Epoch of period measurements</t>
  </si>
  <si>
    <t>orbital frequency (earth frame)</t>
  </si>
  <si>
    <t>&gt;0</t>
  </si>
  <si>
    <t>Hz</t>
  </si>
  <si>
    <t>Earth-frame orbital frequency. Careful to convert to Earth-frame</t>
  </si>
  <si>
    <t>orbital period (earth frame)</t>
  </si>
  <si>
    <t>Gaussian</t>
  </si>
  <si>
    <t>days</t>
  </si>
  <si>
    <t>Earth-frame orbital period, in days.</t>
  </si>
  <si>
    <t>Summary/notes on source</t>
  </si>
  <si>
    <t>This paper discusses additional periodicity found in mm wavelength observations of 3C 66B. This periodicity is then described by a BBH model, taking into consideration previous data found for this object.</t>
  </si>
  <si>
    <t>Brief summary of paper (3-4 sentences)</t>
  </si>
  <si>
    <t>Caveats</t>
  </si>
  <si>
    <t>It is possible that the observed periodicity is caused by binary-independent effects.</t>
  </si>
  <si>
    <t>IMPORTANT. Concerns or caveats for this paper or any parameters above; uncertainties in how we brought these into bobcat.  Include notes on evolving source.</t>
  </si>
  <si>
    <t>Extension project</t>
  </si>
  <si>
    <t xml:space="preserve">-- </t>
  </si>
  <si>
    <t>Undergrad-level project ideas for further work with this sample, particularly w.r.t creating a better representatation of models for this source/publication. For instance: the publication has a series of  equations to represent a theoretical interpretation of the object. It then makes a base assumption early on and provides an example value for the source. A small amount of further analysis would produce a broader, more representative range in the model(s) quoted for the paper. "Value" here should briefly describe what expansion of this sort could be made.</t>
  </si>
  <si>
    <r>
      <rPr>
        <b/>
        <color rgb="FFFFFFFF"/>
      </rPr>
      <t xml:space="preserve">Evidence types as developed on </t>
    </r>
    <r>
      <rPr>
        <b/>
        <color rgb="FFFFFFFF"/>
        <u/>
      </rPr>
      <t>https://docs.google.com/document/d/1sFIOti1WWIioHxF4RoDXdpYIP3ToDAP0VDhfoRQu8Mo/edit</t>
    </r>
  </si>
  <si>
    <t>emission_line_variability</t>
  </si>
  <si>
    <t>emission_line_snapshot</t>
  </si>
  <si>
    <t>spatially_resolved_offset_or_dual_active_nucleus</t>
  </si>
  <si>
    <t>large_scale_jet_features</t>
  </si>
  <si>
    <t>galaxy_features</t>
  </si>
  <si>
    <t>gravitational_wave_emission</t>
  </si>
  <si>
    <t xml:space="preserve">broad_band_SED </t>
  </si>
  <si>
    <t>Broad-line velocity shifts</t>
  </si>
  <si>
    <t>Multiple narrow-line peaks</t>
  </si>
  <si>
    <t>Dual nuclei</t>
  </si>
  <si>
    <t xml:space="preserve">Helical structure </t>
  </si>
  <si>
    <t>X/S/Z/helical shaped sources</t>
  </si>
  <si>
    <t>Morphological: e.g. tidal tails, asymmetry, dual stellar core</t>
  </si>
  <si>
    <t>PTA: GW memory</t>
  </si>
  <si>
    <t>N/A</t>
  </si>
  <si>
    <t>Narrow-line velocity shifts</t>
  </si>
  <si>
    <t>Multiple broad-line peaks</t>
  </si>
  <si>
    <t>Discrete bursts with periodicity</t>
  </si>
  <si>
    <t>Active nucleus offset from photometric or kinematic center</t>
  </si>
  <si>
    <t>Spatial periodicity</t>
  </si>
  <si>
    <t>Flat-cored galaxy/light deficit</t>
  </si>
  <si>
    <t>PTA: Continuous waves</t>
  </si>
  <si>
    <t>Other BLR/NLR (e.g. sudden appearance of additional line feature)</t>
  </si>
  <si>
    <t>Other abnormal BLR (e.g. asymmetries)</t>
  </si>
  <si>
    <t>Correlated multi-band variations</t>
  </si>
  <si>
    <t>CSO/CSS source</t>
  </si>
  <si>
    <t>Enhanced tidal disruption rates</t>
  </si>
  <si>
    <t>Space: GW memory</t>
  </si>
  <si>
    <t>Other abnormal NLR</t>
  </si>
  <si>
    <t>Very massive galaxy</t>
  </si>
  <si>
    <t>Space: Continuous waves</t>
  </si>
  <si>
    <t>Other secondary merger indicators (incl. heightened star formation, ULIRG, etc)</t>
  </si>
  <si>
    <t>Google sheets overhead. Do not edit.</t>
  </si>
  <si>
    <t>evidence type 1</t>
  </si>
  <si>
    <t>evidence type 2</t>
  </si>
  <si>
    <t>evidence type 3</t>
  </si>
  <si>
    <t>evidence type 4</t>
  </si>
  <si>
    <t>Table/value</t>
  </si>
  <si>
    <t>Quantity</t>
  </si>
  <si>
    <t>Filled value</t>
  </si>
  <si>
    <t>Note</t>
  </si>
  <si>
    <t>candidate</t>
  </si>
  <si>
    <t>UGC 01841</t>
  </si>
  <si>
    <t>candidate_id</t>
  </si>
  <si>
    <t>(auto-fill)</t>
  </si>
  <si>
    <t>jra</t>
  </si>
  <si>
    <t>(greater/calculated precision assumed saved)</t>
  </si>
  <si>
    <t>jdec</t>
  </si>
  <si>
    <t>NOTES TO DOMINIC</t>
  </si>
  <si>
    <t>redshift</t>
  </si>
  <si>
    <t>This is a pretty straight forward example, and will be most common.</t>
  </si>
  <si>
    <t>lum_dist</t>
  </si>
  <si>
    <t xml:space="preserve">At least m1 and m2 are given.  Mtot is also given and fortunately is consistent with the m1 and m2 values. </t>
  </si>
  <si>
    <t>rating</t>
  </si>
  <si>
    <t>(blank)</t>
  </si>
  <si>
    <t>The semi-major axis is given, and can be used directly to calculate the inspiral time.</t>
  </si>
  <si>
    <t>created_at</t>
  </si>
  <si>
    <t>All of the values are well-defined (gaussian or two-sided errors) so the calculated values are single-valued (we will deal with populating their errors later)</t>
  </si>
  <si>
    <t>binary_model</t>
  </si>
  <si>
    <t>binary_model_id</t>
  </si>
  <si>
    <t>bib_id</t>
  </si>
  <si>
    <t>sheet_id</t>
  </si>
  <si>
    <t>1lIme3S_EnMMZznuK7aKMMdGB6ENi8qAxiBTUlDoRVZI</t>
  </si>
  <si>
    <t xml:space="preserve">eccentricity </t>
  </si>
  <si>
    <t>m1</t>
  </si>
  <si>
    <t>m2</t>
  </si>
  <si>
    <t>mtot</t>
  </si>
  <si>
    <t>mc</t>
  </si>
  <si>
    <t>mu</t>
  </si>
  <si>
    <t>semimajor_axis</t>
  </si>
  <si>
    <t>orb_period</t>
  </si>
  <si>
    <t>orb_period_epoch</t>
  </si>
  <si>
    <t>gw_strain</t>
  </si>
  <si>
    <t>gw_inspiral_timescale</t>
  </si>
  <si>
    <t>summary</t>
  </si>
  <si>
    <t>caveats</t>
  </si>
  <si>
    <t>ext_proj</t>
  </si>
  <si>
    <t>bib</t>
  </si>
  <si>
    <t>2010ApJ...724L.166I</t>
  </si>
  <si>
    <t>updated_at</t>
  </si>
  <si>
    <t>doi</t>
  </si>
  <si>
    <t>10.1088/2041-8205/724/2/L166</t>
  </si>
  <si>
    <t>title</t>
  </si>
  <si>
    <t>A Very Close Binary Black Hole in a Giant Elliptical Galaxy 3C 66B and its Black Hole Merger</t>
  </si>
  <si>
    <t>year</t>
  </si>
  <si>
    <t>citations</t>
  </si>
  <si>
    <t>Note, this value will likely change going forward as more people cite it!</t>
  </si>
  <si>
    <t>ENUMS</t>
  </si>
  <si>
    <t>model_evidence_id</t>
  </si>
  <si>
    <t>evidence_waveband</t>
  </si>
  <si>
    <t>evidence_subcategory_id</t>
  </si>
  <si>
    <t>evidence_category_type</t>
  </si>
  <si>
    <t>evidence_subcategory_type</t>
  </si>
  <si>
    <t>binary_model_error_id</t>
  </si>
  <si>
    <t>property_name</t>
  </si>
  <si>
    <t>error_type_id</t>
  </si>
  <si>
    <t>error_upper</t>
  </si>
  <si>
    <t>error_lower</t>
  </si>
  <si>
    <t>obs_period</t>
  </si>
  <si>
    <t>obs_period_id</t>
  </si>
  <si>
    <t>waveband_id</t>
  </si>
  <si>
    <t>pobs_value</t>
  </si>
  <si>
    <t>pobs_epoch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</si>
</sst>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1155CC"/>
      <name val="Arial"/>
    </font>
    <font>
      <color theme="1"/>
      <name val="Arial"/>
    </font>
    <font>
      <color rgb="FF000000"/>
      <name val="Arial"/>
      <scheme val="minor"/>
    </font>
    <font>
      <b/>
      <u/>
      <color rgb="FFFFFFFF"/>
    </font>
    <font>
      <b/>
      <sz val="11.0"/>
      <color theme="1"/>
      <name val="Arial"/>
    </font>
    <font>
      <b/>
      <color theme="1"/>
      <name val="Arial"/>
    </font>
    <font>
      <sz val="11.0"/>
      <color theme="1"/>
      <name val="Arial"/>
    </font>
    <font>
      <color rgb="FF222222"/>
      <name val="Arial"/>
    </font>
    <font>
      <sz val="11.0"/>
      <color rgb="FF000000"/>
      <name val="Arial"/>
    </font>
    <font>
      <sz val="11.0"/>
      <color rgb="FF434343"/>
      <name val="Arial"/>
    </font>
    <font>
      <color rgb="FF434343"/>
      <name val="Roboto"/>
    </font>
    <font>
      <color rgb="FF434343"/>
      <name val="Arial"/>
    </font>
    <font>
      <b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6F8F9"/>
        <bgColor rgb="FFF6F8F9"/>
      </patternFill>
    </fill>
    <fill>
      <patternFill patternType="solid">
        <fgColor rgb="FFFCE5CD"/>
        <bgColor rgb="FFFCE5CD"/>
      </patternFill>
    </fill>
  </fills>
  <borders count="13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967D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967D00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967D00"/>
      </left>
      <right style="thin">
        <color rgb="FFF6F8F9"/>
      </right>
      <top style="thin">
        <color rgb="FFF6F8F9"/>
      </top>
      <bottom style="thin">
        <color rgb="FF967D00"/>
      </bottom>
    </border>
    <border>
      <left style="thin">
        <color rgb="FF9239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923900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923900"/>
      </left>
      <right style="thin">
        <color rgb="FFFCE5CD"/>
      </right>
      <top style="thin">
        <color rgb="FFFCE5CD"/>
      </top>
      <bottom style="thin">
        <color rgb="FFFCE5CD"/>
      </bottom>
    </border>
    <border>
      <left style="thin">
        <color rgb="FF923900"/>
      </left>
      <right style="thin">
        <color rgb="FFFFFFFF"/>
      </right>
      <top style="thin">
        <color rgb="FFFFFFFF"/>
      </top>
      <bottom style="thin">
        <color rgb="FF923900"/>
      </bottom>
    </border>
    <border>
      <left style="thin">
        <color rgb="FF923900"/>
      </left>
      <right style="thin">
        <color rgb="FFF6F8F9"/>
      </right>
      <top style="thin">
        <color rgb="FFF6F8F9"/>
      </top>
      <bottom style="thin">
        <color rgb="FF9239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quotePrefix="1" borderId="0" fillId="2" fontId="4" numFmtId="0" xfId="0" applyAlignment="1" applyFill="1" applyFont="1">
      <alignment vertical="bottom"/>
    </xf>
    <xf borderId="0" fillId="0" fontId="4" numFmtId="0" xfId="0" applyAlignment="1" applyFont="1">
      <alignment horizontal="right" vertical="bottom"/>
    </xf>
    <xf quotePrefix="1" borderId="0" fillId="2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/>
    </xf>
    <xf borderId="0" fillId="3" fontId="6" numFmtId="0" xfId="0" applyAlignment="1" applyFill="1" applyFont="1">
      <alignment readingOrder="0"/>
    </xf>
    <xf borderId="0" fillId="3" fontId="2" numFmtId="0" xfId="0" applyAlignment="1" applyFont="1">
      <alignment horizontal="left" readingOrder="0" shrinkToFit="0" vertical="center" wrapText="0"/>
    </xf>
    <xf borderId="0" fillId="3" fontId="2" numFmtId="0" xfId="0" applyFont="1"/>
    <xf borderId="0" fillId="3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vertical="bottom"/>
    </xf>
    <xf borderId="0" fillId="0" fontId="2" numFmtId="0" xfId="0" applyAlignment="1" applyFont="1">
      <alignment readingOrder="0"/>
    </xf>
    <xf borderId="0" fillId="4" fontId="10" numFmtId="0" xfId="0" applyAlignment="1" applyFill="1" applyFont="1">
      <alignment readingOrder="0"/>
    </xf>
    <xf borderId="0" fillId="0" fontId="9" numFmtId="0" xfId="0" applyAlignment="1" applyFont="1">
      <alignment shrinkToFit="0" vertical="bottom" wrapText="0"/>
    </xf>
    <xf borderId="0" fillId="0" fontId="11" numFmtId="0" xfId="0" applyAlignment="1" applyFont="1">
      <alignment readingOrder="0"/>
    </xf>
    <xf borderId="0" fillId="0" fontId="2" numFmtId="0" xfId="0" applyFont="1"/>
    <xf borderId="0" fillId="0" fontId="12" numFmtId="0" xfId="0" applyAlignment="1" applyFont="1">
      <alignment shrinkToFit="0" wrapText="0"/>
    </xf>
    <xf borderId="0" fillId="0" fontId="13" numFmtId="0" xfId="0" applyAlignment="1" applyFont="1">
      <alignment shrinkToFit="0" wrapText="0"/>
    </xf>
    <xf borderId="0" fillId="0" fontId="4" numFmtId="0" xfId="0" applyAlignment="1" applyFont="1">
      <alignment horizontal="left" readingOrder="0" vertical="bottom"/>
    </xf>
    <xf borderId="0" fillId="5" fontId="1" numFmtId="0" xfId="0" applyAlignment="1" applyFill="1" applyFont="1">
      <alignment readingOrder="0"/>
    </xf>
    <xf borderId="0" fillId="5" fontId="2" numFmtId="0" xfId="0" applyFont="1"/>
    <xf borderId="0" fillId="5" fontId="2" numFmtId="0" xfId="0" applyAlignment="1" applyFont="1">
      <alignment readingOrder="0"/>
    </xf>
    <xf borderId="0" fillId="0" fontId="14" numFmtId="0" xfId="0" applyAlignment="1" applyFont="1">
      <alignment shrinkToFit="0" wrapText="0"/>
    </xf>
    <xf borderId="0" fillId="4" fontId="4" numFmtId="0" xfId="0" applyAlignment="1" applyFont="1">
      <alignment horizontal="left" readingOrder="0" vertical="bottom"/>
    </xf>
    <xf borderId="0" fillId="0" fontId="4" numFmtId="11" xfId="0" applyAlignment="1" applyFont="1" applyNumberFormat="1">
      <alignment readingOrder="0" vertical="bottom"/>
    </xf>
    <xf borderId="0" fillId="4" fontId="4" numFmtId="0" xfId="0" applyAlignment="1" applyFont="1">
      <alignment horizontal="right" readingOrder="0" vertical="bottom"/>
    </xf>
    <xf borderId="0" fillId="4" fontId="2" numFmtId="0" xfId="0" applyFont="1"/>
    <xf borderId="0" fillId="4" fontId="4" numFmtId="0" xfId="0" applyAlignment="1" applyFont="1">
      <alignment readingOrder="0" vertical="bottom"/>
    </xf>
    <xf borderId="0" fillId="4" fontId="13" numFmtId="0" xfId="0" applyAlignment="1" applyFont="1">
      <alignment shrinkToFit="0" wrapText="0"/>
    </xf>
    <xf borderId="0" fillId="4" fontId="2" numFmtId="0" xfId="0" applyAlignment="1" applyFont="1">
      <alignment readingOrder="0"/>
    </xf>
    <xf borderId="0" fillId="4" fontId="12" numFmtId="0" xfId="0" applyAlignment="1" applyFont="1">
      <alignment shrinkToFit="0" wrapText="0"/>
    </xf>
    <xf borderId="0" fillId="4" fontId="2" numFmtId="0" xfId="0" applyAlignment="1" applyFont="1">
      <alignment readingOrder="0"/>
    </xf>
    <xf borderId="0" fillId="4" fontId="13" numFmtId="0" xfId="0" applyAlignment="1" applyFont="1">
      <alignment readingOrder="0" shrinkToFit="0" wrapText="0"/>
    </xf>
    <xf borderId="0" fillId="4" fontId="13" numFmtId="0" xfId="0" applyAlignment="1" applyFont="1">
      <alignment readingOrder="0" shrinkToFit="0" wrapText="0"/>
    </xf>
    <xf borderId="0" fillId="4" fontId="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8" numFmtId="0" xfId="0" applyAlignment="1" applyFont="1">
      <alignment vertical="bottom"/>
    </xf>
    <xf borderId="1" fillId="4" fontId="13" numFmtId="0" xfId="0" applyAlignment="1" applyBorder="1" applyFont="1">
      <alignment shrinkToFit="0" wrapText="0"/>
    </xf>
    <xf borderId="2" fillId="6" fontId="13" numFmtId="0" xfId="0" applyAlignment="1" applyBorder="1" applyFill="1" applyFont="1">
      <alignment shrinkToFit="0" wrapText="0"/>
    </xf>
    <xf borderId="0" fillId="6" fontId="13" numFmtId="0" xfId="0" applyAlignment="1" applyFont="1">
      <alignment shrinkToFit="0" wrapText="0"/>
    </xf>
    <xf borderId="3" fillId="6" fontId="13" numFmtId="0" xfId="0" applyAlignment="1" applyBorder="1" applyFont="1">
      <alignment shrinkToFit="0" wrapText="0"/>
    </xf>
    <xf borderId="4" fillId="4" fontId="13" numFmtId="0" xfId="0" applyAlignment="1" applyBorder="1" applyFont="1">
      <alignment shrinkToFit="0" wrapText="0"/>
    </xf>
    <xf borderId="0" fillId="4" fontId="13" numFmtId="0" xfId="0" applyAlignment="1" applyFont="1">
      <alignment shrinkToFit="0" wrapText="0"/>
    </xf>
    <xf borderId="5" fillId="4" fontId="13" numFmtId="0" xfId="0" applyAlignment="1" applyBorder="1" applyFont="1">
      <alignment shrinkToFit="0" wrapText="0"/>
    </xf>
    <xf borderId="6" fillId="6" fontId="13" numFmtId="0" xfId="0" applyAlignment="1" applyBorder="1" applyFont="1">
      <alignment shrinkToFit="0" wrapText="0"/>
    </xf>
    <xf borderId="7" fillId="6" fontId="13" numFmtId="0" xfId="0" applyAlignment="1" applyBorder="1" applyFont="1">
      <alignment shrinkToFit="0" wrapText="0"/>
    </xf>
    <xf borderId="8" fillId="4" fontId="12" numFmtId="0" xfId="0" applyAlignment="1" applyBorder="1" applyFont="1">
      <alignment shrinkToFit="0" wrapText="0"/>
    </xf>
    <xf borderId="9" fillId="6" fontId="13" numFmtId="0" xfId="0" applyAlignment="1" applyBorder="1" applyFont="1">
      <alignment shrinkToFit="0" wrapText="0"/>
    </xf>
    <xf borderId="10" fillId="7" fontId="13" numFmtId="0" xfId="0" applyAlignment="1" applyBorder="1" applyFill="1" applyFont="1">
      <alignment shrinkToFit="0" wrapText="0"/>
    </xf>
    <xf borderId="11" fillId="4" fontId="13" numFmtId="0" xfId="0" applyAlignment="1" applyBorder="1" applyFont="1">
      <alignment shrinkToFit="0" wrapText="0"/>
    </xf>
    <xf borderId="8" fillId="4" fontId="14" numFmtId="0" xfId="0" applyAlignment="1" applyBorder="1" applyFont="1">
      <alignment shrinkToFit="0" wrapText="0"/>
    </xf>
    <xf borderId="9" fillId="0" fontId="13" numFmtId="0" xfId="0" applyAlignment="1" applyBorder="1" applyFont="1">
      <alignment shrinkToFit="0" wrapText="0"/>
    </xf>
    <xf borderId="8" fillId="0" fontId="13" numFmtId="0" xfId="0" applyAlignment="1" applyBorder="1" applyFont="1">
      <alignment shrinkToFit="0" wrapText="0"/>
    </xf>
    <xf borderId="12" fillId="0" fontId="13" numFmtId="0" xfId="0" applyAlignment="1" applyBorder="1" applyFont="1">
      <alignment shrinkToFit="0" wrapText="0"/>
    </xf>
    <xf borderId="8" fillId="0" fontId="14" numFmtId="0" xfId="0" applyAlignment="1" applyBorder="1" applyFont="1">
      <alignment shrinkToFit="0" wrapText="0"/>
    </xf>
  </cellXfs>
  <cellStyles count="1">
    <cellStyle xfId="0" name="Normal" builtinId="0"/>
  </cellStyles>
  <dxfs count="4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5">
    <tableStyle count="2" pivot="0" name="Unique Filled values-style">
      <tableStyleElement dxfId="2" type="firstRowStripe"/>
      <tableStyleElement dxfId="3" type="secondRowStripe"/>
    </tableStyle>
    <tableStyle count="2" pivot="0" name="model_evidence_waveband Filled -style">
      <tableStyleElement dxfId="2" type="firstRowStripe"/>
      <tableStyleElement dxfId="3" type="secondRowStripe"/>
    </tableStyle>
    <tableStyle count="2" pivot="0" name="evidence_subcategory Filled val-style">
      <tableStyleElement dxfId="2" type="firstRowStripe"/>
      <tableStyleElement dxfId="3" type="secondRowStripe"/>
    </tableStyle>
    <tableStyle count="2" pivot="0" name="binary_model_error Filled value-style">
      <tableStyleElement dxfId="2" type="firstRowStripe"/>
      <tableStyleElement dxfId="3" type="secondRowStripe"/>
    </tableStyle>
    <tableStyle count="2" pivot="0" name="obs_period_error Filled values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32:D39" displayName="Table_1" name="Table_1" id="1">
  <tableColumns count="3">
    <tableColumn name="Column1" id="1"/>
    <tableColumn name="Column2" id="2"/>
    <tableColumn name="Column3" id="3"/>
  </tableColumns>
  <tableStyleInfo name="Unique Filled values-style" showColumnStripes="0" showFirstColumn="1" showLastColumn="1" showRowStripes="1"/>
</table>
</file>

<file path=xl/tables/table2.xml><?xml version="1.0" encoding="utf-8"?>
<table xmlns="http://schemas.openxmlformats.org/spreadsheetml/2006/main" headerRowCount="0" ref="A1:B2" displayName="Table_2" name="Table_2" id="2">
  <tableColumns count="2">
    <tableColumn name="Column1" id="1"/>
    <tableColumn name="Column2" id="2"/>
  </tableColumns>
  <tableStyleInfo name="model_evidence_waveband Filled -style" showColumnStripes="0" showFirstColumn="1" showLastColumn="1" showRowStripes="1"/>
</table>
</file>

<file path=xl/tables/table3.xml><?xml version="1.0" encoding="utf-8"?>
<table xmlns="http://schemas.openxmlformats.org/spreadsheetml/2006/main" headerRowCount="0" ref="A1:C3" displayName="Table_3" name="Table_3" id="3">
  <tableColumns count="3">
    <tableColumn name="Column1" id="1"/>
    <tableColumn name="Column2" id="2"/>
    <tableColumn name="Column3" id="3"/>
  </tableColumns>
  <tableStyleInfo name="evidence_subcategory Filled val-style" showColumnStripes="0" showFirstColumn="1" showLastColumn="1" showRowStripes="1"/>
</table>
</file>

<file path=xl/tables/table4.xml><?xml version="1.0" encoding="utf-8"?>
<table xmlns="http://schemas.openxmlformats.org/spreadsheetml/2006/main" headerRowCount="0" ref="A1:F6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inary_model_error Filled value-style" showColumnStripes="0" showFirstColumn="1" showLastColumn="1" showRowStripes="1"/>
</table>
</file>

<file path=xl/tables/table5.xml><?xml version="1.0" encoding="utf-8"?>
<table xmlns="http://schemas.openxmlformats.org/spreadsheetml/2006/main" headerRowCount="0" ref="B2:B5" displayName="Table_5" name="Table_5" id="5">
  <tableColumns count="1">
    <tableColumn name="Column1" id="1"/>
  </tableColumns>
  <tableStyleInfo name="obs_period_error Filled valu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i.adsabs.harvard.edu/abs/2010ApJ...724L.166I/abstract" TargetMode="External"/><Relationship Id="rId2" Type="http://schemas.openxmlformats.org/officeDocument/2006/relationships/hyperlink" Target="https://docs.google.com/document/d/1sFIOti1WWIioHxF4RoDXdpYIP3ToDAP0VDhfoRQu8Mo/edit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22.63"/>
    <col customWidth="1" min="5" max="6" width="17.25"/>
    <col customWidth="1" min="7" max="7" width="21.25"/>
    <col customWidth="1" min="8" max="8" width="24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9</v>
      </c>
      <c r="B2" s="5" t="s">
        <v>10</v>
      </c>
      <c r="C2" s="4" t="s">
        <v>11</v>
      </c>
      <c r="D2" s="6" t="s">
        <v>12</v>
      </c>
      <c r="E2" s="7" t="s">
        <v>13</v>
      </c>
      <c r="F2" s="7" t="s">
        <v>13</v>
      </c>
      <c r="G2" s="4" t="s">
        <v>14</v>
      </c>
      <c r="H2" s="4" t="s">
        <v>13</v>
      </c>
      <c r="I2" s="4" t="s">
        <v>15</v>
      </c>
    </row>
    <row r="3">
      <c r="A3" s="4" t="s">
        <v>16</v>
      </c>
      <c r="B3" s="5" t="s">
        <v>10</v>
      </c>
      <c r="C3" s="4" t="s">
        <v>11</v>
      </c>
      <c r="D3" s="8" t="s">
        <v>17</v>
      </c>
      <c r="E3" s="7" t="s">
        <v>13</v>
      </c>
      <c r="F3" s="7" t="s">
        <v>13</v>
      </c>
      <c r="G3" s="4" t="s">
        <v>11</v>
      </c>
      <c r="H3" s="4" t="s">
        <v>13</v>
      </c>
      <c r="I3" s="4" t="s">
        <v>18</v>
      </c>
    </row>
    <row r="4">
      <c r="A4" s="4" t="s">
        <v>19</v>
      </c>
      <c r="B4" s="5" t="s">
        <v>10</v>
      </c>
      <c r="C4" s="4" t="s">
        <v>20</v>
      </c>
      <c r="D4" s="9"/>
      <c r="E4" s="7"/>
      <c r="F4" s="9"/>
      <c r="G4" s="4" t="s">
        <v>21</v>
      </c>
      <c r="H4" s="4" t="s">
        <v>22</v>
      </c>
      <c r="I4" s="4" t="s">
        <v>23</v>
      </c>
    </row>
    <row r="5">
      <c r="A5" s="4" t="s">
        <v>24</v>
      </c>
      <c r="B5" s="5" t="s">
        <v>25</v>
      </c>
      <c r="C5" s="4" t="s">
        <v>20</v>
      </c>
      <c r="D5" s="10">
        <f>log(1200000000)</f>
        <v>9.079181246</v>
      </c>
      <c r="E5" s="11" t="s">
        <v>26</v>
      </c>
      <c r="F5" s="7" t="s">
        <v>27</v>
      </c>
      <c r="G5" s="4" t="s">
        <v>28</v>
      </c>
      <c r="H5" s="4" t="s">
        <v>29</v>
      </c>
      <c r="I5" s="4" t="s">
        <v>30</v>
      </c>
    </row>
    <row r="6">
      <c r="A6" s="4" t="s">
        <v>31</v>
      </c>
      <c r="B6" s="5" t="s">
        <v>25</v>
      </c>
      <c r="C6" s="4" t="s">
        <v>20</v>
      </c>
      <c r="D6" s="12">
        <f>log(700000000)</f>
        <v>8.84509804</v>
      </c>
      <c r="E6" s="13" t="s">
        <v>32</v>
      </c>
      <c r="F6" s="7" t="s">
        <v>27</v>
      </c>
      <c r="G6" s="4" t="s">
        <v>28</v>
      </c>
      <c r="H6" s="4" t="s">
        <v>29</v>
      </c>
      <c r="I6" s="4" t="s">
        <v>33</v>
      </c>
    </row>
    <row r="7">
      <c r="A7" s="4" t="s">
        <v>34</v>
      </c>
      <c r="B7" s="5" t="s">
        <v>25</v>
      </c>
      <c r="C7" s="4" t="s">
        <v>20</v>
      </c>
      <c r="D7" s="10">
        <f>log(1900000000)</f>
        <v>9.278753601</v>
      </c>
      <c r="E7" s="11" t="s">
        <v>35</v>
      </c>
      <c r="F7" s="7" t="s">
        <v>27</v>
      </c>
      <c r="G7" s="4" t="s">
        <v>28</v>
      </c>
      <c r="H7" s="4" t="s">
        <v>29</v>
      </c>
      <c r="I7" s="4" t="s">
        <v>36</v>
      </c>
    </row>
    <row r="8">
      <c r="A8" s="4" t="s">
        <v>37</v>
      </c>
      <c r="B8" s="5" t="s">
        <v>25</v>
      </c>
      <c r="C8" s="4" t="s">
        <v>20</v>
      </c>
      <c r="D8" s="9"/>
      <c r="E8" s="7"/>
      <c r="F8" s="7"/>
      <c r="G8" s="4" t="s">
        <v>28</v>
      </c>
      <c r="H8" s="4" t="s">
        <v>29</v>
      </c>
      <c r="I8" s="4" t="s">
        <v>38</v>
      </c>
    </row>
    <row r="9">
      <c r="A9" s="4" t="s">
        <v>39</v>
      </c>
      <c r="B9" s="5" t="s">
        <v>25</v>
      </c>
      <c r="C9" s="4" t="s">
        <v>20</v>
      </c>
      <c r="D9" s="7"/>
      <c r="E9" s="7"/>
      <c r="F9" s="7"/>
      <c r="G9" s="4" t="s">
        <v>28</v>
      </c>
      <c r="H9" s="4" t="s">
        <v>29</v>
      </c>
      <c r="I9" s="4" t="s">
        <v>40</v>
      </c>
    </row>
    <row r="10">
      <c r="A10" s="4" t="s">
        <v>41</v>
      </c>
      <c r="B10" s="5" t="s">
        <v>25</v>
      </c>
      <c r="C10" s="4" t="s">
        <v>20</v>
      </c>
      <c r="D10" s="7"/>
      <c r="E10" s="7"/>
      <c r="F10" s="7"/>
      <c r="G10" s="4" t="s">
        <v>42</v>
      </c>
      <c r="H10" s="4" t="s">
        <v>22</v>
      </c>
      <c r="I10" s="4" t="s">
        <v>43</v>
      </c>
    </row>
    <row r="11">
      <c r="A11" s="4" t="s">
        <v>44</v>
      </c>
      <c r="B11" s="5" t="s">
        <v>10</v>
      </c>
      <c r="C11" s="4" t="s">
        <v>11</v>
      </c>
      <c r="D11" s="9" t="s">
        <v>45</v>
      </c>
      <c r="E11" s="7" t="s">
        <v>13</v>
      </c>
      <c r="F11" s="7" t="s">
        <v>13</v>
      </c>
      <c r="G11" s="14" t="s">
        <v>46</v>
      </c>
      <c r="H11" s="4" t="s">
        <v>47</v>
      </c>
      <c r="I11" s="15" t="s">
        <v>48</v>
      </c>
    </row>
    <row r="12">
      <c r="A12" s="4" t="s">
        <v>49</v>
      </c>
      <c r="B12" s="5" t="s">
        <v>10</v>
      </c>
      <c r="C12" s="4" t="s">
        <v>11</v>
      </c>
      <c r="D12" s="9" t="s">
        <v>50</v>
      </c>
      <c r="E12" s="7" t="s">
        <v>13</v>
      </c>
      <c r="F12" s="7" t="s">
        <v>13</v>
      </c>
      <c r="G12" s="14" t="s">
        <v>51</v>
      </c>
      <c r="H12" s="4" t="s">
        <v>47</v>
      </c>
      <c r="I12" s="16" t="s">
        <v>52</v>
      </c>
    </row>
    <row r="13">
      <c r="A13" s="4" t="s">
        <v>53</v>
      </c>
      <c r="B13" s="5" t="s">
        <v>10</v>
      </c>
      <c r="C13" s="4" t="s">
        <v>11</v>
      </c>
      <c r="D13" s="9" t="s">
        <v>54</v>
      </c>
      <c r="E13" s="7" t="s">
        <v>13</v>
      </c>
      <c r="F13" s="7" t="s">
        <v>13</v>
      </c>
      <c r="G13" s="4" t="s">
        <v>55</v>
      </c>
      <c r="H13" s="4" t="s">
        <v>47</v>
      </c>
      <c r="I13" s="16" t="s">
        <v>56</v>
      </c>
    </row>
    <row r="14">
      <c r="A14" s="4" t="s">
        <v>57</v>
      </c>
      <c r="B14" s="5" t="s">
        <v>10</v>
      </c>
      <c r="C14" s="4" t="s">
        <v>11</v>
      </c>
      <c r="D14" s="9" t="s">
        <v>58</v>
      </c>
      <c r="E14" s="7" t="s">
        <v>13</v>
      </c>
      <c r="F14" s="7" t="s">
        <v>13</v>
      </c>
      <c r="G14" s="14" t="s">
        <v>46</v>
      </c>
      <c r="H14" s="4" t="s">
        <v>47</v>
      </c>
      <c r="I14" s="15" t="s">
        <v>48</v>
      </c>
    </row>
    <row r="15">
      <c r="A15" s="4" t="s">
        <v>59</v>
      </c>
      <c r="B15" s="5" t="s">
        <v>10</v>
      </c>
      <c r="C15" s="4" t="s">
        <v>11</v>
      </c>
      <c r="D15" s="9" t="s">
        <v>60</v>
      </c>
      <c r="E15" s="7" t="s">
        <v>13</v>
      </c>
      <c r="F15" s="7" t="s">
        <v>13</v>
      </c>
      <c r="G15" s="14" t="s">
        <v>51</v>
      </c>
      <c r="H15" s="4" t="s">
        <v>47</v>
      </c>
      <c r="I15" s="16" t="s">
        <v>52</v>
      </c>
    </row>
    <row r="16">
      <c r="A16" s="4" t="s">
        <v>61</v>
      </c>
      <c r="B16" s="5" t="s">
        <v>10</v>
      </c>
      <c r="C16" s="4" t="s">
        <v>11</v>
      </c>
      <c r="D16" s="9" t="s">
        <v>54</v>
      </c>
      <c r="E16" s="7" t="s">
        <v>13</v>
      </c>
      <c r="F16" s="7" t="s">
        <v>13</v>
      </c>
      <c r="G16" s="4" t="s">
        <v>55</v>
      </c>
      <c r="H16" s="4" t="s">
        <v>47</v>
      </c>
      <c r="I16" s="16" t="s">
        <v>56</v>
      </c>
    </row>
    <row r="17">
      <c r="A17" s="4" t="s">
        <v>62</v>
      </c>
      <c r="B17" s="5" t="s">
        <v>10</v>
      </c>
      <c r="C17" s="4" t="s">
        <v>11</v>
      </c>
      <c r="D17" s="7"/>
      <c r="E17" s="7" t="s">
        <v>13</v>
      </c>
      <c r="F17" s="7" t="s">
        <v>13</v>
      </c>
      <c r="G17" s="14" t="s">
        <v>46</v>
      </c>
      <c r="H17" s="4" t="s">
        <v>47</v>
      </c>
      <c r="I17" s="15" t="s">
        <v>48</v>
      </c>
    </row>
    <row r="18">
      <c r="A18" s="4" t="s">
        <v>63</v>
      </c>
      <c r="B18" s="5" t="s">
        <v>10</v>
      </c>
      <c r="C18" s="4" t="s">
        <v>11</v>
      </c>
      <c r="D18" s="7"/>
      <c r="E18" s="7" t="s">
        <v>13</v>
      </c>
      <c r="F18" s="7" t="s">
        <v>13</v>
      </c>
      <c r="G18" s="14" t="s">
        <v>51</v>
      </c>
      <c r="H18" s="4" t="s">
        <v>47</v>
      </c>
      <c r="I18" s="16" t="s">
        <v>52</v>
      </c>
    </row>
    <row r="19">
      <c r="A19" s="4" t="s">
        <v>64</v>
      </c>
      <c r="B19" s="5" t="s">
        <v>10</v>
      </c>
      <c r="C19" s="4" t="s">
        <v>11</v>
      </c>
      <c r="D19" s="7"/>
      <c r="E19" s="7" t="s">
        <v>13</v>
      </c>
      <c r="F19" s="7" t="s">
        <v>13</v>
      </c>
      <c r="G19" s="4" t="s">
        <v>55</v>
      </c>
      <c r="H19" s="4" t="s">
        <v>47</v>
      </c>
      <c r="I19" s="16" t="s">
        <v>56</v>
      </c>
    </row>
    <row r="20">
      <c r="A20" s="4" t="s">
        <v>65</v>
      </c>
      <c r="B20" s="5" t="s">
        <v>10</v>
      </c>
      <c r="C20" s="4" t="s">
        <v>11</v>
      </c>
      <c r="D20" s="7"/>
      <c r="E20" s="7" t="s">
        <v>13</v>
      </c>
      <c r="F20" s="7" t="s">
        <v>13</v>
      </c>
      <c r="G20" s="14" t="s">
        <v>46</v>
      </c>
      <c r="H20" s="4" t="s">
        <v>47</v>
      </c>
      <c r="I20" s="15" t="s">
        <v>48</v>
      </c>
    </row>
    <row r="21">
      <c r="A21" s="4" t="s">
        <v>66</v>
      </c>
      <c r="B21" s="5" t="s">
        <v>10</v>
      </c>
      <c r="C21" s="4" t="s">
        <v>11</v>
      </c>
      <c r="D21" s="7"/>
      <c r="E21" s="7" t="s">
        <v>13</v>
      </c>
      <c r="F21" s="7" t="s">
        <v>13</v>
      </c>
      <c r="G21" s="14" t="s">
        <v>51</v>
      </c>
      <c r="H21" s="4" t="s">
        <v>47</v>
      </c>
      <c r="I21" s="16" t="s">
        <v>52</v>
      </c>
    </row>
    <row r="22">
      <c r="A22" s="4" t="s">
        <v>67</v>
      </c>
      <c r="B22" s="5" t="s">
        <v>10</v>
      </c>
      <c r="C22" s="4" t="s">
        <v>11</v>
      </c>
      <c r="D22" s="7"/>
      <c r="E22" s="7" t="s">
        <v>13</v>
      </c>
      <c r="F22" s="7" t="s">
        <v>13</v>
      </c>
      <c r="G22" s="4" t="s">
        <v>55</v>
      </c>
      <c r="H22" s="4" t="s">
        <v>47</v>
      </c>
      <c r="I22" s="16" t="s">
        <v>56</v>
      </c>
    </row>
    <row r="23">
      <c r="A23" s="4" t="s">
        <v>68</v>
      </c>
      <c r="B23" s="5" t="s">
        <v>10</v>
      </c>
      <c r="C23" s="4" t="s">
        <v>20</v>
      </c>
      <c r="D23" s="7"/>
      <c r="E23" s="7"/>
      <c r="F23" s="7"/>
      <c r="G23" s="4" t="s">
        <v>69</v>
      </c>
      <c r="H23" s="4" t="s">
        <v>70</v>
      </c>
      <c r="I23" s="4" t="s">
        <v>71</v>
      </c>
    </row>
    <row r="24">
      <c r="A24" s="4" t="s">
        <v>72</v>
      </c>
      <c r="B24" s="5" t="s">
        <v>73</v>
      </c>
      <c r="C24" s="4" t="s">
        <v>20</v>
      </c>
      <c r="D24" s="12">
        <f>0.0061</f>
        <v>0.0061</v>
      </c>
      <c r="E24" s="13" t="s">
        <v>74</v>
      </c>
      <c r="F24" s="7" t="s">
        <v>27</v>
      </c>
      <c r="G24" s="4" t="s">
        <v>75</v>
      </c>
      <c r="H24" s="4" t="s">
        <v>76</v>
      </c>
      <c r="I24" s="4" t="s">
        <v>77</v>
      </c>
    </row>
    <row r="25">
      <c r="A25" s="4" t="s">
        <v>78</v>
      </c>
      <c r="B25" s="5" t="s">
        <v>10</v>
      </c>
      <c r="C25" s="4" t="s">
        <v>20</v>
      </c>
      <c r="D25" s="7"/>
      <c r="E25" s="7"/>
      <c r="F25" s="7"/>
      <c r="G25" s="4" t="s">
        <v>79</v>
      </c>
      <c r="H25" s="4" t="s">
        <v>76</v>
      </c>
      <c r="I25" s="4" t="s">
        <v>80</v>
      </c>
    </row>
    <row r="26">
      <c r="A26" s="4" t="s">
        <v>81</v>
      </c>
      <c r="B26" s="5" t="s">
        <v>10</v>
      </c>
      <c r="C26" s="4" t="s">
        <v>20</v>
      </c>
      <c r="D26" s="10">
        <v>52276.0</v>
      </c>
      <c r="E26" s="7"/>
      <c r="F26" s="7"/>
      <c r="G26" s="4" t="s">
        <v>82</v>
      </c>
      <c r="H26" s="4" t="s">
        <v>83</v>
      </c>
      <c r="I26" s="4" t="s">
        <v>84</v>
      </c>
    </row>
    <row r="27">
      <c r="A27" s="4" t="s">
        <v>85</v>
      </c>
      <c r="B27" s="5" t="s">
        <v>25</v>
      </c>
      <c r="C27" s="4" t="s">
        <v>20</v>
      </c>
      <c r="D27" s="7"/>
      <c r="E27" s="7"/>
      <c r="F27" s="7"/>
      <c r="G27" s="4" t="s">
        <v>86</v>
      </c>
      <c r="H27" s="4" t="s">
        <v>87</v>
      </c>
      <c r="I27" s="4" t="s">
        <v>88</v>
      </c>
    </row>
    <row r="28">
      <c r="A28" s="4" t="s">
        <v>89</v>
      </c>
      <c r="B28" s="5" t="s">
        <v>25</v>
      </c>
      <c r="C28" s="4" t="s">
        <v>20</v>
      </c>
      <c r="D28" s="8">
        <v>1.05</v>
      </c>
      <c r="E28" s="8">
        <v>0.03</v>
      </c>
      <c r="F28" s="8" t="s">
        <v>90</v>
      </c>
      <c r="G28" s="4" t="s">
        <v>86</v>
      </c>
      <c r="H28" s="4" t="s">
        <v>91</v>
      </c>
      <c r="I28" s="4" t="s">
        <v>92</v>
      </c>
    </row>
    <row r="29">
      <c r="A29" s="4" t="s">
        <v>93</v>
      </c>
      <c r="B29" s="5" t="s">
        <v>13</v>
      </c>
      <c r="C29" s="4" t="s">
        <v>11</v>
      </c>
      <c r="D29" s="9" t="s">
        <v>94</v>
      </c>
      <c r="E29" s="7" t="s">
        <v>13</v>
      </c>
      <c r="F29" s="7" t="s">
        <v>13</v>
      </c>
      <c r="G29" s="4" t="s">
        <v>11</v>
      </c>
      <c r="H29" s="4" t="s">
        <v>13</v>
      </c>
      <c r="I29" s="4" t="s">
        <v>95</v>
      </c>
    </row>
    <row r="30">
      <c r="A30" s="4" t="s">
        <v>96</v>
      </c>
      <c r="B30" s="5" t="s">
        <v>13</v>
      </c>
      <c r="C30" s="4" t="s">
        <v>11</v>
      </c>
      <c r="D30" s="9" t="s">
        <v>97</v>
      </c>
      <c r="E30" s="7" t="s">
        <v>13</v>
      </c>
      <c r="F30" s="7" t="s">
        <v>13</v>
      </c>
      <c r="G30" s="4" t="s">
        <v>11</v>
      </c>
      <c r="H30" s="4" t="s">
        <v>13</v>
      </c>
      <c r="I30" s="4" t="s">
        <v>98</v>
      </c>
    </row>
    <row r="31">
      <c r="A31" s="4" t="s">
        <v>99</v>
      </c>
      <c r="B31" s="5" t="s">
        <v>100</v>
      </c>
      <c r="C31" s="4" t="s">
        <v>11</v>
      </c>
      <c r="D31" s="7"/>
      <c r="E31" s="7" t="s">
        <v>13</v>
      </c>
      <c r="F31" s="7" t="s">
        <v>13</v>
      </c>
      <c r="G31" s="4" t="s">
        <v>11</v>
      </c>
      <c r="H31" s="4" t="s">
        <v>13</v>
      </c>
      <c r="I31" s="4" t="s">
        <v>101</v>
      </c>
    </row>
    <row r="32">
      <c r="B32" s="5"/>
    </row>
    <row r="33">
      <c r="B33" s="17"/>
      <c r="K33" s="1"/>
    </row>
    <row r="34">
      <c r="B34" s="17"/>
      <c r="K34" s="7"/>
      <c r="L34" s="9"/>
    </row>
    <row r="35">
      <c r="B35" s="17"/>
      <c r="K35" s="7"/>
      <c r="L35" s="9"/>
    </row>
    <row r="36">
      <c r="A36" s="18" t="s">
        <v>102</v>
      </c>
      <c r="B36" s="19"/>
      <c r="C36" s="20"/>
      <c r="D36" s="20"/>
      <c r="E36" s="20"/>
      <c r="F36" s="20"/>
      <c r="G36" s="20"/>
      <c r="H36" s="20"/>
      <c r="I36" s="20"/>
      <c r="J36" s="20"/>
      <c r="K36" s="21"/>
      <c r="L36" s="22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>
      <c r="A37" s="23" t="s">
        <v>103</v>
      </c>
      <c r="B37" s="24" t="s">
        <v>104</v>
      </c>
      <c r="C37" s="23" t="s">
        <v>45</v>
      </c>
      <c r="D37" s="23" t="s">
        <v>105</v>
      </c>
      <c r="E37" s="23" t="s">
        <v>58</v>
      </c>
      <c r="F37" s="23" t="s">
        <v>106</v>
      </c>
      <c r="G37" s="23" t="s">
        <v>107</v>
      </c>
      <c r="H37" s="23" t="s">
        <v>108</v>
      </c>
      <c r="I37" s="25" t="s">
        <v>109</v>
      </c>
      <c r="J37" s="1"/>
      <c r="K37" s="9"/>
      <c r="L37" s="16"/>
    </row>
    <row r="38">
      <c r="A38" s="26" t="s">
        <v>110</v>
      </c>
      <c r="B38" s="26" t="s">
        <v>111</v>
      </c>
      <c r="C38" s="26" t="s">
        <v>50</v>
      </c>
      <c r="D38" s="26" t="s">
        <v>112</v>
      </c>
      <c r="E38" s="26" t="s">
        <v>113</v>
      </c>
      <c r="F38" s="26" t="s">
        <v>114</v>
      </c>
      <c r="G38" s="26" t="s">
        <v>115</v>
      </c>
      <c r="H38" s="26" t="s">
        <v>116</v>
      </c>
      <c r="I38" s="7" t="s">
        <v>117</v>
      </c>
      <c r="J38" s="4"/>
    </row>
    <row r="39">
      <c r="A39" s="7" t="s">
        <v>118</v>
      </c>
      <c r="B39" s="26" t="s">
        <v>119</v>
      </c>
      <c r="C39" s="26" t="s">
        <v>120</v>
      </c>
      <c r="D39" s="26" t="s">
        <v>121</v>
      </c>
      <c r="E39" s="26" t="s">
        <v>60</v>
      </c>
      <c r="F39" s="26" t="s">
        <v>122</v>
      </c>
      <c r="G39" s="26" t="s">
        <v>123</v>
      </c>
      <c r="H39" s="26" t="s">
        <v>124</v>
      </c>
      <c r="I39" s="9"/>
      <c r="K39" s="27"/>
    </row>
    <row r="40">
      <c r="A40" s="28" t="s">
        <v>125</v>
      </c>
      <c r="B40" s="26" t="s">
        <v>126</v>
      </c>
      <c r="C40" s="29" t="s">
        <v>127</v>
      </c>
      <c r="D40" s="9"/>
      <c r="E40" s="9" t="s">
        <v>128</v>
      </c>
      <c r="F40" s="7"/>
      <c r="G40" s="26" t="s">
        <v>129</v>
      </c>
      <c r="H40" s="26" t="s">
        <v>130</v>
      </c>
      <c r="I40" s="9"/>
      <c r="K40" s="7"/>
    </row>
    <row r="41">
      <c r="A41" s="9"/>
      <c r="B41" s="26" t="s">
        <v>131</v>
      </c>
      <c r="C41" s="7"/>
      <c r="D41" s="9"/>
      <c r="E41" s="9"/>
      <c r="F41" s="9"/>
      <c r="G41" s="26" t="s">
        <v>132</v>
      </c>
      <c r="H41" s="26" t="s">
        <v>133</v>
      </c>
      <c r="I41" s="9"/>
    </row>
    <row r="42">
      <c r="A42" s="9"/>
      <c r="B42" s="29"/>
      <c r="C42" s="9"/>
      <c r="D42" s="9"/>
      <c r="E42" s="9"/>
      <c r="F42" s="9"/>
      <c r="G42" s="29" t="s">
        <v>134</v>
      </c>
      <c r="H42" s="9"/>
      <c r="I42" s="9"/>
    </row>
    <row r="43">
      <c r="G43" s="30"/>
    </row>
    <row r="44">
      <c r="G44" s="30"/>
    </row>
    <row r="45">
      <c r="G45" s="30"/>
    </row>
    <row r="48">
      <c r="A48" s="1" t="s">
        <v>135</v>
      </c>
    </row>
    <row r="49">
      <c r="A49" s="4" t="s">
        <v>136</v>
      </c>
      <c r="B49" s="4" t="s">
        <v>137</v>
      </c>
      <c r="C49" s="4" t="s">
        <v>138</v>
      </c>
      <c r="D49" s="4" t="s">
        <v>139</v>
      </c>
    </row>
    <row r="50">
      <c r="A50" s="31" t="str">
        <f t="array" ref="A50:A53">indirect(D11)</f>
        <v>Continuous light curve variation with periodicity</v>
      </c>
      <c r="B50" s="31" t="str">
        <f t="array" ref="B50:B51">indirect(D14)</f>
        <v>Helical structure </v>
      </c>
      <c r="C50" s="31" t="str">
        <f t="array" ref="C50">indirect(D17)</f>
        <v>#REF!</v>
      </c>
      <c r="D50" s="31" t="str">
        <f t="array" ref="D50">indirect(D20)</f>
        <v>#REF!</v>
      </c>
    </row>
    <row r="51">
      <c r="A51" s="31" t="s">
        <v>120</v>
      </c>
      <c r="B51" s="30" t="s">
        <v>60</v>
      </c>
    </row>
    <row r="52">
      <c r="A52" s="31" t="s">
        <v>127</v>
      </c>
    </row>
    <row r="53">
      <c r="A53" s="31"/>
    </row>
    <row r="68">
      <c r="B68" s="17"/>
    </row>
    <row r="69">
      <c r="B69" s="17"/>
    </row>
    <row r="70">
      <c r="B70" s="17"/>
    </row>
    <row r="71">
      <c r="B71" s="17"/>
    </row>
    <row r="72">
      <c r="B72" s="17"/>
    </row>
    <row r="73">
      <c r="B73" s="17"/>
    </row>
    <row r="74">
      <c r="B74" s="17"/>
    </row>
    <row r="75">
      <c r="B75" s="17"/>
    </row>
    <row r="76">
      <c r="B76" s="17"/>
    </row>
    <row r="77">
      <c r="B77" s="17"/>
    </row>
    <row r="78">
      <c r="B78" s="17"/>
    </row>
    <row r="79">
      <c r="B79" s="17"/>
    </row>
    <row r="80">
      <c r="B80" s="17"/>
    </row>
    <row r="81">
      <c r="B81" s="17"/>
    </row>
    <row r="82">
      <c r="B82" s="17"/>
    </row>
    <row r="83">
      <c r="B83" s="17"/>
    </row>
    <row r="84">
      <c r="B84" s="17"/>
    </row>
    <row r="85">
      <c r="B85" s="17"/>
    </row>
    <row r="86">
      <c r="B86" s="17"/>
    </row>
    <row r="87">
      <c r="B87" s="17"/>
    </row>
    <row r="88">
      <c r="B88" s="17"/>
    </row>
    <row r="89">
      <c r="B89" s="17"/>
    </row>
    <row r="90">
      <c r="B90" s="17"/>
    </row>
    <row r="91">
      <c r="B91" s="17"/>
    </row>
    <row r="92">
      <c r="B92" s="17"/>
    </row>
    <row r="93">
      <c r="B93" s="17"/>
    </row>
    <row r="94">
      <c r="B94" s="17"/>
    </row>
    <row r="95">
      <c r="B95" s="17"/>
    </row>
    <row r="96">
      <c r="B96" s="17"/>
    </row>
    <row r="97">
      <c r="B97" s="17"/>
    </row>
    <row r="98">
      <c r="B98" s="17"/>
    </row>
    <row r="99">
      <c r="B99" s="17"/>
    </row>
    <row r="100">
      <c r="B100" s="17"/>
    </row>
    <row r="101">
      <c r="B101" s="17"/>
    </row>
    <row r="102">
      <c r="B102" s="17"/>
    </row>
    <row r="103">
      <c r="B103" s="17"/>
    </row>
    <row r="104">
      <c r="B104" s="17"/>
    </row>
    <row r="105">
      <c r="B105" s="17"/>
    </row>
    <row r="106">
      <c r="B106" s="17"/>
    </row>
    <row r="107">
      <c r="B107" s="17"/>
    </row>
    <row r="108">
      <c r="B108" s="17"/>
    </row>
    <row r="109">
      <c r="B109" s="17"/>
    </row>
    <row r="110">
      <c r="B110" s="17"/>
    </row>
    <row r="111">
      <c r="B111" s="17"/>
    </row>
    <row r="112">
      <c r="B112" s="17"/>
    </row>
    <row r="113">
      <c r="B113" s="17"/>
    </row>
    <row r="114">
      <c r="B114" s="17"/>
    </row>
    <row r="115">
      <c r="B115" s="17"/>
    </row>
    <row r="116">
      <c r="B116" s="17"/>
    </row>
    <row r="117">
      <c r="B117" s="17"/>
    </row>
    <row r="118">
      <c r="B118" s="17"/>
    </row>
    <row r="119">
      <c r="B119" s="17"/>
    </row>
    <row r="120">
      <c r="B120" s="17"/>
    </row>
    <row r="121">
      <c r="B121" s="17"/>
    </row>
    <row r="122">
      <c r="B122" s="17"/>
    </row>
    <row r="123">
      <c r="B123" s="17"/>
    </row>
    <row r="124">
      <c r="B124" s="17"/>
    </row>
    <row r="125">
      <c r="B125" s="17"/>
    </row>
    <row r="126">
      <c r="B126" s="17"/>
    </row>
    <row r="127">
      <c r="B127" s="17"/>
    </row>
    <row r="128">
      <c r="B128" s="17"/>
    </row>
    <row r="129">
      <c r="B129" s="17"/>
    </row>
    <row r="130">
      <c r="B130" s="17"/>
    </row>
    <row r="131">
      <c r="B131" s="17"/>
    </row>
    <row r="132">
      <c r="B132" s="17"/>
    </row>
    <row r="133">
      <c r="B133" s="17"/>
    </row>
    <row r="134">
      <c r="B134" s="17"/>
    </row>
    <row r="135">
      <c r="B135" s="17"/>
    </row>
    <row r="136">
      <c r="B136" s="17"/>
    </row>
    <row r="137">
      <c r="B137" s="17"/>
    </row>
    <row r="138">
      <c r="B138" s="17"/>
    </row>
    <row r="139">
      <c r="B139" s="17"/>
    </row>
    <row r="140">
      <c r="B140" s="17"/>
    </row>
    <row r="141">
      <c r="B141" s="17"/>
    </row>
    <row r="142">
      <c r="B142" s="17"/>
    </row>
    <row r="143">
      <c r="B143" s="17"/>
    </row>
    <row r="144">
      <c r="B144" s="17"/>
    </row>
    <row r="145">
      <c r="B145" s="17"/>
    </row>
    <row r="146">
      <c r="B146" s="17"/>
    </row>
    <row r="147">
      <c r="B147" s="17"/>
    </row>
    <row r="148">
      <c r="B148" s="17"/>
    </row>
    <row r="149">
      <c r="B149" s="17"/>
    </row>
    <row r="150">
      <c r="B150" s="17"/>
    </row>
    <row r="151">
      <c r="B151" s="17"/>
    </row>
    <row r="152">
      <c r="B152" s="17"/>
    </row>
    <row r="153">
      <c r="B153" s="17"/>
    </row>
    <row r="154">
      <c r="B154" s="17"/>
    </row>
    <row r="155">
      <c r="B155" s="17"/>
    </row>
    <row r="156">
      <c r="B156" s="17"/>
    </row>
    <row r="157">
      <c r="B157" s="17"/>
    </row>
    <row r="158">
      <c r="B158" s="17"/>
    </row>
    <row r="159">
      <c r="B159" s="17"/>
    </row>
    <row r="160">
      <c r="B160" s="17"/>
    </row>
    <row r="161">
      <c r="B161" s="17"/>
    </row>
    <row r="162">
      <c r="B162" s="17"/>
    </row>
    <row r="163">
      <c r="B163" s="17"/>
    </row>
    <row r="164">
      <c r="B164" s="17"/>
    </row>
    <row r="165">
      <c r="B165" s="17"/>
    </row>
    <row r="166">
      <c r="B166" s="17"/>
    </row>
    <row r="167">
      <c r="B167" s="17"/>
    </row>
    <row r="168">
      <c r="B168" s="17"/>
    </row>
    <row r="169">
      <c r="B169" s="17"/>
    </row>
    <row r="170">
      <c r="B170" s="17"/>
    </row>
    <row r="171">
      <c r="B171" s="17"/>
    </row>
    <row r="172">
      <c r="B172" s="17"/>
    </row>
    <row r="173">
      <c r="B173" s="17"/>
    </row>
    <row r="174">
      <c r="B174" s="17"/>
    </row>
    <row r="175">
      <c r="B175" s="17"/>
    </row>
    <row r="176">
      <c r="B176" s="17"/>
    </row>
    <row r="177">
      <c r="B177" s="17"/>
    </row>
    <row r="178">
      <c r="B178" s="17"/>
    </row>
    <row r="179">
      <c r="B179" s="17"/>
    </row>
    <row r="180">
      <c r="B180" s="17"/>
    </row>
    <row r="181">
      <c r="B181" s="17"/>
    </row>
    <row r="182">
      <c r="B182" s="17"/>
    </row>
    <row r="183">
      <c r="B183" s="17"/>
    </row>
    <row r="184">
      <c r="B184" s="17"/>
    </row>
    <row r="185">
      <c r="B185" s="17"/>
    </row>
    <row r="186">
      <c r="B186" s="17"/>
    </row>
    <row r="187">
      <c r="B187" s="17"/>
    </row>
    <row r="188">
      <c r="B188" s="17"/>
    </row>
    <row r="189">
      <c r="B189" s="17"/>
    </row>
    <row r="190">
      <c r="B190" s="17"/>
    </row>
    <row r="191">
      <c r="B191" s="17"/>
    </row>
    <row r="192">
      <c r="B192" s="17"/>
    </row>
    <row r="193">
      <c r="B193" s="17"/>
    </row>
    <row r="194">
      <c r="B194" s="17"/>
    </row>
    <row r="195">
      <c r="B195" s="17"/>
    </row>
    <row r="196">
      <c r="B196" s="17"/>
    </row>
    <row r="197">
      <c r="B197" s="17"/>
    </row>
    <row r="198">
      <c r="B198" s="17"/>
    </row>
    <row r="199">
      <c r="B199" s="17"/>
    </row>
    <row r="200">
      <c r="B200" s="17"/>
    </row>
    <row r="201">
      <c r="B201" s="17"/>
    </row>
    <row r="202">
      <c r="B202" s="17"/>
    </row>
    <row r="203">
      <c r="B203" s="17"/>
    </row>
    <row r="204">
      <c r="B204" s="17"/>
    </row>
    <row r="205">
      <c r="B205" s="17"/>
    </row>
    <row r="206">
      <c r="B206" s="17"/>
    </row>
    <row r="207">
      <c r="B207" s="17"/>
    </row>
    <row r="208">
      <c r="B208" s="17"/>
    </row>
    <row r="209">
      <c r="B209" s="17"/>
    </row>
    <row r="210">
      <c r="B210" s="17"/>
    </row>
    <row r="211">
      <c r="B211" s="17"/>
    </row>
    <row r="212">
      <c r="B212" s="17"/>
    </row>
    <row r="213">
      <c r="B213" s="17"/>
    </row>
    <row r="214">
      <c r="B214" s="17"/>
    </row>
    <row r="215">
      <c r="B215" s="17"/>
    </row>
    <row r="216">
      <c r="B216" s="17"/>
    </row>
    <row r="217">
      <c r="B217" s="17"/>
    </row>
    <row r="218">
      <c r="B218" s="17"/>
    </row>
    <row r="219">
      <c r="B219" s="17"/>
    </row>
    <row r="220">
      <c r="B220" s="17"/>
    </row>
    <row r="221">
      <c r="B221" s="17"/>
    </row>
    <row r="222">
      <c r="B222" s="17"/>
    </row>
    <row r="223">
      <c r="B223" s="17"/>
    </row>
    <row r="224">
      <c r="B224" s="17"/>
    </row>
    <row r="225">
      <c r="B225" s="17"/>
    </row>
    <row r="226">
      <c r="B226" s="17"/>
    </row>
    <row r="227">
      <c r="B227" s="17"/>
    </row>
    <row r="228">
      <c r="B228" s="17"/>
    </row>
    <row r="229">
      <c r="B229" s="17"/>
    </row>
    <row r="230">
      <c r="B230" s="17"/>
    </row>
    <row r="231">
      <c r="B231" s="17"/>
    </row>
    <row r="232">
      <c r="B232" s="17"/>
    </row>
    <row r="233">
      <c r="B233" s="17"/>
    </row>
    <row r="234">
      <c r="B234" s="17"/>
    </row>
    <row r="235">
      <c r="B235" s="17"/>
    </row>
    <row r="236">
      <c r="B236" s="17"/>
    </row>
    <row r="237">
      <c r="B237" s="17"/>
    </row>
    <row r="238">
      <c r="B238" s="17"/>
    </row>
    <row r="239">
      <c r="B239" s="17"/>
    </row>
    <row r="240">
      <c r="B240" s="17"/>
    </row>
    <row r="241">
      <c r="B241" s="17"/>
    </row>
    <row r="242">
      <c r="B242" s="17"/>
    </row>
    <row r="243">
      <c r="B243" s="17"/>
    </row>
    <row r="244">
      <c r="B244" s="17"/>
    </row>
    <row r="245">
      <c r="B245" s="17"/>
    </row>
    <row r="246">
      <c r="B246" s="17"/>
    </row>
    <row r="247">
      <c r="B247" s="17"/>
    </row>
    <row r="248">
      <c r="B248" s="17"/>
    </row>
    <row r="249">
      <c r="B249" s="17"/>
    </row>
    <row r="250">
      <c r="B250" s="17"/>
    </row>
    <row r="251">
      <c r="B251" s="17"/>
    </row>
    <row r="252">
      <c r="B252" s="17"/>
    </row>
    <row r="253">
      <c r="B253" s="17"/>
    </row>
    <row r="254">
      <c r="B254" s="17"/>
    </row>
    <row r="255">
      <c r="B255" s="17"/>
    </row>
    <row r="256">
      <c r="B256" s="17"/>
    </row>
    <row r="257">
      <c r="B257" s="17"/>
    </row>
    <row r="258">
      <c r="B258" s="17"/>
    </row>
    <row r="259">
      <c r="B259" s="17"/>
    </row>
    <row r="260">
      <c r="B260" s="17"/>
    </row>
    <row r="261">
      <c r="B261" s="17"/>
    </row>
    <row r="262">
      <c r="B262" s="17"/>
    </row>
    <row r="263">
      <c r="B263" s="17"/>
    </row>
    <row r="264">
      <c r="B264" s="17"/>
    </row>
    <row r="265">
      <c r="B265" s="17"/>
    </row>
    <row r="266">
      <c r="B266" s="17"/>
    </row>
    <row r="267">
      <c r="B267" s="17"/>
    </row>
    <row r="268">
      <c r="B268" s="17"/>
    </row>
    <row r="269">
      <c r="B269" s="17"/>
    </row>
    <row r="270">
      <c r="B270" s="17"/>
    </row>
    <row r="271">
      <c r="B271" s="17"/>
    </row>
    <row r="272">
      <c r="B272" s="17"/>
    </row>
    <row r="273">
      <c r="B273" s="17"/>
    </row>
    <row r="274">
      <c r="B274" s="17"/>
    </row>
    <row r="275">
      <c r="B275" s="17"/>
    </row>
    <row r="276">
      <c r="B276" s="17"/>
    </row>
    <row r="277">
      <c r="B277" s="17"/>
    </row>
    <row r="278">
      <c r="B278" s="17"/>
    </row>
    <row r="279">
      <c r="B279" s="17"/>
    </row>
    <row r="280">
      <c r="B280" s="17"/>
    </row>
    <row r="281">
      <c r="B281" s="17"/>
    </row>
    <row r="282">
      <c r="B282" s="17"/>
    </row>
    <row r="283">
      <c r="B283" s="17"/>
    </row>
    <row r="284">
      <c r="B284" s="17"/>
    </row>
    <row r="285">
      <c r="B285" s="17"/>
    </row>
    <row r="286">
      <c r="B286" s="17"/>
    </row>
    <row r="287">
      <c r="B287" s="17"/>
    </row>
    <row r="288">
      <c r="B288" s="17"/>
    </row>
    <row r="289">
      <c r="B289" s="17"/>
    </row>
    <row r="290">
      <c r="B290" s="17"/>
    </row>
    <row r="291">
      <c r="B291" s="17"/>
    </row>
    <row r="292">
      <c r="B292" s="17"/>
    </row>
    <row r="293">
      <c r="B293" s="17"/>
    </row>
    <row r="294">
      <c r="B294" s="17"/>
    </row>
    <row r="295">
      <c r="B295" s="17"/>
    </row>
    <row r="296">
      <c r="B296" s="17"/>
    </row>
    <row r="297">
      <c r="B297" s="17"/>
    </row>
    <row r="298">
      <c r="B298" s="17"/>
    </row>
    <row r="299">
      <c r="B299" s="17"/>
    </row>
    <row r="300">
      <c r="B300" s="17"/>
    </row>
    <row r="301">
      <c r="B301" s="17"/>
    </row>
    <row r="302">
      <c r="B302" s="17"/>
    </row>
    <row r="303">
      <c r="B303" s="17"/>
    </row>
    <row r="304">
      <c r="B304" s="17"/>
    </row>
    <row r="305">
      <c r="B305" s="17"/>
    </row>
    <row r="306">
      <c r="B306" s="17"/>
    </row>
    <row r="307">
      <c r="B307" s="17"/>
    </row>
    <row r="308">
      <c r="B308" s="17"/>
    </row>
    <row r="309">
      <c r="B309" s="17"/>
    </row>
    <row r="310">
      <c r="B310" s="17"/>
    </row>
    <row r="311">
      <c r="B311" s="17"/>
    </row>
    <row r="312">
      <c r="B312" s="17"/>
    </row>
    <row r="313">
      <c r="B313" s="17"/>
    </row>
    <row r="314">
      <c r="B314" s="17"/>
    </row>
    <row r="315">
      <c r="B315" s="17"/>
    </row>
    <row r="316">
      <c r="B316" s="17"/>
    </row>
    <row r="317">
      <c r="B317" s="17"/>
    </row>
    <row r="318">
      <c r="B318" s="17"/>
    </row>
    <row r="319">
      <c r="B319" s="17"/>
    </row>
    <row r="320">
      <c r="B320" s="17"/>
    </row>
    <row r="321">
      <c r="B321" s="17"/>
    </row>
    <row r="322">
      <c r="B322" s="17"/>
    </row>
    <row r="323">
      <c r="B323" s="17"/>
    </row>
    <row r="324">
      <c r="B324" s="17"/>
    </row>
    <row r="325">
      <c r="B325" s="17"/>
    </row>
    <row r="326">
      <c r="B326" s="17"/>
    </row>
    <row r="327">
      <c r="B327" s="17"/>
    </row>
    <row r="328">
      <c r="B328" s="17"/>
    </row>
    <row r="329">
      <c r="B329" s="17"/>
    </row>
    <row r="330">
      <c r="B330" s="17"/>
    </row>
    <row r="331">
      <c r="B331" s="17"/>
    </row>
    <row r="332">
      <c r="B332" s="17"/>
    </row>
    <row r="333">
      <c r="B333" s="17"/>
    </row>
    <row r="334">
      <c r="B334" s="17"/>
    </row>
    <row r="335">
      <c r="B335" s="17"/>
    </row>
    <row r="336">
      <c r="B336" s="17"/>
    </row>
    <row r="337">
      <c r="B337" s="17"/>
    </row>
    <row r="338">
      <c r="B338" s="17"/>
    </row>
    <row r="339">
      <c r="B339" s="17"/>
    </row>
    <row r="340">
      <c r="B340" s="17"/>
    </row>
    <row r="341">
      <c r="B341" s="17"/>
    </row>
    <row r="342">
      <c r="B342" s="17"/>
    </row>
    <row r="343">
      <c r="B343" s="17"/>
    </row>
    <row r="344">
      <c r="B344" s="17"/>
    </row>
    <row r="345">
      <c r="B345" s="17"/>
    </row>
    <row r="346">
      <c r="B346" s="17"/>
    </row>
    <row r="347">
      <c r="B347" s="17"/>
    </row>
    <row r="348">
      <c r="B348" s="17"/>
    </row>
    <row r="349">
      <c r="B349" s="17"/>
    </row>
    <row r="350">
      <c r="B350" s="17"/>
    </row>
    <row r="351">
      <c r="B351" s="17"/>
    </row>
    <row r="352">
      <c r="B352" s="17"/>
    </row>
    <row r="353">
      <c r="B353" s="17"/>
    </row>
    <row r="354">
      <c r="B354" s="17"/>
    </row>
    <row r="355">
      <c r="B355" s="17"/>
    </row>
    <row r="356">
      <c r="B356" s="17"/>
    </row>
    <row r="357">
      <c r="B357" s="17"/>
    </row>
    <row r="358">
      <c r="B358" s="17"/>
    </row>
    <row r="359">
      <c r="B359" s="17"/>
    </row>
    <row r="360">
      <c r="B360" s="17"/>
    </row>
    <row r="361">
      <c r="B361" s="17"/>
    </row>
    <row r="362">
      <c r="B362" s="17"/>
    </row>
    <row r="363">
      <c r="B363" s="17"/>
    </row>
    <row r="364">
      <c r="B364" s="17"/>
    </row>
    <row r="365">
      <c r="B365" s="17"/>
    </row>
    <row r="366">
      <c r="B366" s="17"/>
    </row>
    <row r="367">
      <c r="B367" s="17"/>
    </row>
    <row r="368">
      <c r="B368" s="17"/>
    </row>
    <row r="369">
      <c r="B369" s="17"/>
    </row>
    <row r="370">
      <c r="B370" s="17"/>
    </row>
    <row r="371">
      <c r="B371" s="17"/>
    </row>
    <row r="372">
      <c r="B372" s="17"/>
    </row>
    <row r="373">
      <c r="B373" s="17"/>
    </row>
    <row r="374">
      <c r="B374" s="17"/>
    </row>
    <row r="375">
      <c r="B375" s="17"/>
    </row>
    <row r="376">
      <c r="B376" s="17"/>
    </row>
    <row r="377">
      <c r="B377" s="17"/>
    </row>
    <row r="378">
      <c r="B378" s="17"/>
    </row>
    <row r="379">
      <c r="B379" s="17"/>
    </row>
    <row r="380">
      <c r="B380" s="17"/>
    </row>
    <row r="381">
      <c r="B381" s="17"/>
    </row>
    <row r="382">
      <c r="B382" s="17"/>
    </row>
    <row r="383">
      <c r="B383" s="17"/>
    </row>
    <row r="384">
      <c r="B384" s="17"/>
    </row>
    <row r="385">
      <c r="B385" s="17"/>
    </row>
    <row r="386">
      <c r="B386" s="17"/>
    </row>
    <row r="387">
      <c r="B387" s="17"/>
    </row>
    <row r="388">
      <c r="B388" s="17"/>
    </row>
    <row r="389">
      <c r="B389" s="17"/>
    </row>
    <row r="390">
      <c r="B390" s="17"/>
    </row>
    <row r="391">
      <c r="B391" s="17"/>
    </row>
    <row r="392">
      <c r="B392" s="17"/>
    </row>
    <row r="393">
      <c r="B393" s="17"/>
    </row>
    <row r="394">
      <c r="B394" s="17"/>
    </row>
    <row r="395">
      <c r="B395" s="17"/>
    </row>
    <row r="396">
      <c r="B396" s="17"/>
    </row>
    <row r="397">
      <c r="B397" s="17"/>
    </row>
    <row r="398">
      <c r="B398" s="17"/>
    </row>
    <row r="399">
      <c r="B399" s="17"/>
    </row>
    <row r="400">
      <c r="B400" s="17"/>
    </row>
    <row r="401">
      <c r="B401" s="17"/>
    </row>
    <row r="402">
      <c r="B402" s="17"/>
    </row>
    <row r="403">
      <c r="B403" s="17"/>
    </row>
    <row r="404">
      <c r="B404" s="17"/>
    </row>
    <row r="405">
      <c r="B405" s="17"/>
    </row>
    <row r="406">
      <c r="B406" s="17"/>
    </row>
    <row r="407">
      <c r="B407" s="17"/>
    </row>
    <row r="408">
      <c r="B408" s="17"/>
    </row>
    <row r="409">
      <c r="B409" s="17"/>
    </row>
    <row r="410">
      <c r="B410" s="17"/>
    </row>
    <row r="411">
      <c r="B411" s="17"/>
    </row>
    <row r="412">
      <c r="B412" s="17"/>
    </row>
    <row r="413">
      <c r="B413" s="17"/>
    </row>
    <row r="414">
      <c r="B414" s="17"/>
    </row>
    <row r="415">
      <c r="B415" s="17"/>
    </row>
    <row r="416">
      <c r="B416" s="17"/>
    </row>
    <row r="417">
      <c r="B417" s="17"/>
    </row>
    <row r="418">
      <c r="B418" s="17"/>
    </row>
    <row r="419">
      <c r="B419" s="17"/>
    </row>
    <row r="420">
      <c r="B420" s="17"/>
    </row>
    <row r="421">
      <c r="B421" s="17"/>
    </row>
    <row r="422">
      <c r="B422" s="17"/>
    </row>
    <row r="423">
      <c r="B423" s="17"/>
    </row>
    <row r="424">
      <c r="B424" s="17"/>
    </row>
    <row r="425">
      <c r="B425" s="17"/>
    </row>
    <row r="426">
      <c r="B426" s="17"/>
    </row>
    <row r="427">
      <c r="B427" s="17"/>
    </row>
    <row r="428">
      <c r="B428" s="17"/>
    </row>
    <row r="429">
      <c r="B429" s="17"/>
    </row>
    <row r="430">
      <c r="B430" s="17"/>
    </row>
    <row r="431">
      <c r="B431" s="17"/>
    </row>
    <row r="432">
      <c r="B432" s="17"/>
    </row>
    <row r="433">
      <c r="B433" s="17"/>
    </row>
    <row r="434">
      <c r="B434" s="17"/>
    </row>
    <row r="435">
      <c r="B435" s="17"/>
    </row>
    <row r="436">
      <c r="B436" s="17"/>
    </row>
    <row r="437">
      <c r="B437" s="17"/>
    </row>
    <row r="438">
      <c r="B438" s="17"/>
    </row>
    <row r="439">
      <c r="B439" s="17"/>
    </row>
    <row r="440">
      <c r="B440" s="17"/>
    </row>
    <row r="441">
      <c r="B441" s="17"/>
    </row>
    <row r="442">
      <c r="B442" s="17"/>
    </row>
    <row r="443">
      <c r="B443" s="17"/>
    </row>
    <row r="444">
      <c r="B444" s="17"/>
    </row>
    <row r="445">
      <c r="B445" s="17"/>
    </row>
    <row r="446">
      <c r="B446" s="17"/>
    </row>
    <row r="447">
      <c r="B447" s="17"/>
    </row>
    <row r="448">
      <c r="B448" s="17"/>
    </row>
    <row r="449">
      <c r="B449" s="17"/>
    </row>
    <row r="450">
      <c r="B450" s="17"/>
    </row>
    <row r="451">
      <c r="B451" s="17"/>
    </row>
    <row r="452">
      <c r="B452" s="17"/>
    </row>
    <row r="453">
      <c r="B453" s="17"/>
    </row>
    <row r="454">
      <c r="B454" s="17"/>
    </row>
    <row r="455">
      <c r="B455" s="17"/>
    </row>
    <row r="456">
      <c r="B456" s="17"/>
    </row>
    <row r="457">
      <c r="B457" s="17"/>
    </row>
    <row r="458">
      <c r="B458" s="17"/>
    </row>
    <row r="459">
      <c r="B459" s="17"/>
    </row>
    <row r="460">
      <c r="B460" s="17"/>
    </row>
    <row r="461">
      <c r="B461" s="17"/>
    </row>
    <row r="462">
      <c r="B462" s="17"/>
    </row>
    <row r="463">
      <c r="B463" s="17"/>
    </row>
    <row r="464">
      <c r="B464" s="17"/>
    </row>
    <row r="465">
      <c r="B465" s="17"/>
    </row>
    <row r="466">
      <c r="B466" s="17"/>
    </row>
    <row r="467">
      <c r="B467" s="17"/>
    </row>
    <row r="468">
      <c r="B468" s="17"/>
    </row>
    <row r="469">
      <c r="B469" s="17"/>
    </row>
    <row r="470">
      <c r="B470" s="17"/>
    </row>
    <row r="471">
      <c r="B471" s="17"/>
    </row>
    <row r="472">
      <c r="B472" s="17"/>
    </row>
    <row r="473">
      <c r="B473" s="17"/>
    </row>
    <row r="474">
      <c r="B474" s="17"/>
    </row>
    <row r="475">
      <c r="B475" s="17"/>
    </row>
    <row r="476">
      <c r="B476" s="17"/>
    </row>
    <row r="477">
      <c r="B477" s="17"/>
    </row>
    <row r="478">
      <c r="B478" s="17"/>
    </row>
    <row r="479">
      <c r="B479" s="17"/>
    </row>
    <row r="480">
      <c r="B480" s="17"/>
    </row>
    <row r="481">
      <c r="B481" s="17"/>
    </row>
    <row r="482">
      <c r="B482" s="17"/>
    </row>
    <row r="483">
      <c r="B483" s="17"/>
    </row>
    <row r="484">
      <c r="B484" s="17"/>
    </row>
    <row r="485">
      <c r="B485" s="17"/>
    </row>
    <row r="486">
      <c r="B486" s="17"/>
    </row>
    <row r="487">
      <c r="B487" s="17"/>
    </row>
    <row r="488">
      <c r="B488" s="17"/>
    </row>
    <row r="489">
      <c r="B489" s="17"/>
    </row>
    <row r="490">
      <c r="B490" s="17"/>
    </row>
    <row r="491">
      <c r="B491" s="17"/>
    </row>
    <row r="492">
      <c r="B492" s="17"/>
    </row>
    <row r="493">
      <c r="B493" s="17"/>
    </row>
    <row r="494">
      <c r="B494" s="17"/>
    </row>
    <row r="495">
      <c r="B495" s="17"/>
    </row>
    <row r="496">
      <c r="B496" s="17"/>
    </row>
    <row r="497">
      <c r="B497" s="17"/>
    </row>
    <row r="498">
      <c r="B498" s="17"/>
    </row>
    <row r="499">
      <c r="B499" s="17"/>
    </row>
    <row r="500">
      <c r="B500" s="17"/>
    </row>
    <row r="501">
      <c r="B501" s="17"/>
    </row>
    <row r="502">
      <c r="B502" s="17"/>
    </row>
    <row r="503">
      <c r="B503" s="17"/>
    </row>
    <row r="504">
      <c r="B504" s="17"/>
    </row>
    <row r="505">
      <c r="B505" s="17"/>
    </row>
    <row r="506">
      <c r="B506" s="17"/>
    </row>
    <row r="507">
      <c r="B507" s="17"/>
    </row>
    <row r="508">
      <c r="B508" s="17"/>
    </row>
    <row r="509">
      <c r="B509" s="17"/>
    </row>
    <row r="510">
      <c r="B510" s="17"/>
    </row>
    <row r="511">
      <c r="B511" s="17"/>
    </row>
    <row r="512">
      <c r="B512" s="17"/>
    </row>
    <row r="513">
      <c r="B513" s="17"/>
    </row>
    <row r="514">
      <c r="B514" s="17"/>
    </row>
    <row r="515">
      <c r="B515" s="17"/>
    </row>
    <row r="516">
      <c r="B516" s="17"/>
    </row>
    <row r="517">
      <c r="B517" s="17"/>
    </row>
    <row r="518">
      <c r="B518" s="17"/>
    </row>
    <row r="519">
      <c r="B519" s="17"/>
    </row>
    <row r="520">
      <c r="B520" s="17"/>
    </row>
    <row r="521">
      <c r="B521" s="17"/>
    </row>
    <row r="522">
      <c r="B522" s="17"/>
    </row>
    <row r="523">
      <c r="B523" s="17"/>
    </row>
    <row r="524">
      <c r="B524" s="17"/>
    </row>
    <row r="525">
      <c r="B525" s="17"/>
    </row>
    <row r="526">
      <c r="B526" s="17"/>
    </row>
    <row r="527">
      <c r="B527" s="17"/>
    </row>
    <row r="528">
      <c r="B528" s="17"/>
    </row>
    <row r="529">
      <c r="B529" s="17"/>
    </row>
    <row r="530">
      <c r="B530" s="17"/>
    </row>
    <row r="531">
      <c r="B531" s="17"/>
    </row>
    <row r="532">
      <c r="B532" s="17"/>
    </row>
    <row r="533">
      <c r="B533" s="17"/>
    </row>
    <row r="534">
      <c r="B534" s="17"/>
    </row>
    <row r="535">
      <c r="B535" s="17"/>
    </row>
    <row r="536">
      <c r="B536" s="17"/>
    </row>
    <row r="537">
      <c r="B537" s="17"/>
    </row>
    <row r="538">
      <c r="B538" s="17"/>
    </row>
    <row r="539">
      <c r="B539" s="17"/>
    </row>
    <row r="540">
      <c r="B540" s="17"/>
    </row>
    <row r="541">
      <c r="B541" s="17"/>
    </row>
    <row r="542">
      <c r="B542" s="17"/>
    </row>
    <row r="543">
      <c r="B543" s="17"/>
    </row>
    <row r="544">
      <c r="B544" s="17"/>
    </row>
    <row r="545">
      <c r="B545" s="17"/>
    </row>
    <row r="546">
      <c r="B546" s="17"/>
    </row>
    <row r="547">
      <c r="B547" s="17"/>
    </row>
    <row r="548">
      <c r="B548" s="17"/>
    </row>
    <row r="549">
      <c r="B549" s="17"/>
    </row>
    <row r="550">
      <c r="B550" s="17"/>
    </row>
    <row r="551">
      <c r="B551" s="17"/>
    </row>
    <row r="552">
      <c r="B552" s="17"/>
    </row>
    <row r="553">
      <c r="B553" s="17"/>
    </row>
    <row r="554">
      <c r="B554" s="17"/>
    </row>
    <row r="555">
      <c r="B555" s="17"/>
    </row>
    <row r="556">
      <c r="B556" s="17"/>
    </row>
    <row r="557">
      <c r="B557" s="17"/>
    </row>
    <row r="558">
      <c r="B558" s="17"/>
    </row>
    <row r="559">
      <c r="B559" s="17"/>
    </row>
    <row r="560">
      <c r="B560" s="17"/>
    </row>
    <row r="561">
      <c r="B561" s="17"/>
    </row>
    <row r="562">
      <c r="B562" s="17"/>
    </row>
    <row r="563">
      <c r="B563" s="17"/>
    </row>
    <row r="564">
      <c r="B564" s="17"/>
    </row>
    <row r="565">
      <c r="B565" s="17"/>
    </row>
    <row r="566">
      <c r="B566" s="17"/>
    </row>
    <row r="567">
      <c r="B567" s="17"/>
    </row>
    <row r="568">
      <c r="B568" s="17"/>
    </row>
    <row r="569">
      <c r="B569" s="17"/>
    </row>
    <row r="570">
      <c r="B570" s="17"/>
    </row>
    <row r="571">
      <c r="B571" s="17"/>
    </row>
    <row r="572">
      <c r="B572" s="17"/>
    </row>
    <row r="573">
      <c r="B573" s="17"/>
    </row>
    <row r="574">
      <c r="B574" s="17"/>
    </row>
    <row r="575">
      <c r="B575" s="17"/>
    </row>
    <row r="576">
      <c r="B576" s="17"/>
    </row>
    <row r="577">
      <c r="B577" s="17"/>
    </row>
    <row r="578">
      <c r="B578" s="17"/>
    </row>
    <row r="579">
      <c r="B579" s="17"/>
    </row>
    <row r="580">
      <c r="B580" s="17"/>
    </row>
    <row r="581">
      <c r="B581" s="17"/>
    </row>
    <row r="582">
      <c r="B582" s="17"/>
    </row>
    <row r="583">
      <c r="B583" s="17"/>
    </row>
    <row r="584">
      <c r="B584" s="17"/>
    </row>
    <row r="585">
      <c r="B585" s="17"/>
    </row>
    <row r="586">
      <c r="B586" s="17"/>
    </row>
    <row r="587">
      <c r="B587" s="17"/>
    </row>
    <row r="588">
      <c r="B588" s="17"/>
    </row>
    <row r="589">
      <c r="B589" s="17"/>
    </row>
    <row r="590">
      <c r="B590" s="17"/>
    </row>
    <row r="591">
      <c r="B591" s="17"/>
    </row>
    <row r="592">
      <c r="B592" s="17"/>
    </row>
    <row r="593">
      <c r="B593" s="17"/>
    </row>
    <row r="594">
      <c r="B594" s="17"/>
    </row>
    <row r="595">
      <c r="B595" s="17"/>
    </row>
    <row r="596">
      <c r="B596" s="17"/>
    </row>
    <row r="597">
      <c r="B597" s="17"/>
    </row>
    <row r="598">
      <c r="B598" s="17"/>
    </row>
    <row r="599">
      <c r="B599" s="17"/>
    </row>
    <row r="600">
      <c r="B600" s="17"/>
    </row>
    <row r="601">
      <c r="B601" s="17"/>
    </row>
    <row r="602">
      <c r="B602" s="17"/>
    </row>
    <row r="603">
      <c r="B603" s="17"/>
    </row>
    <row r="604">
      <c r="B604" s="17"/>
    </row>
    <row r="605">
      <c r="B605" s="17"/>
    </row>
    <row r="606">
      <c r="B606" s="17"/>
    </row>
    <row r="607">
      <c r="B607" s="17"/>
    </row>
    <row r="608">
      <c r="B608" s="17"/>
    </row>
    <row r="609">
      <c r="B609" s="17"/>
    </row>
    <row r="610">
      <c r="B610" s="17"/>
    </row>
    <row r="611">
      <c r="B611" s="17"/>
    </row>
    <row r="612">
      <c r="B612" s="17"/>
    </row>
    <row r="613">
      <c r="B613" s="17"/>
    </row>
    <row r="614">
      <c r="B614" s="17"/>
    </row>
    <row r="615">
      <c r="B615" s="17"/>
    </row>
    <row r="616">
      <c r="B616" s="17"/>
    </row>
    <row r="617">
      <c r="B617" s="17"/>
    </row>
    <row r="618">
      <c r="B618" s="17"/>
    </row>
    <row r="619">
      <c r="B619" s="17"/>
    </row>
    <row r="620">
      <c r="B620" s="17"/>
    </row>
    <row r="621">
      <c r="B621" s="17"/>
    </row>
    <row r="622">
      <c r="B622" s="17"/>
    </row>
    <row r="623">
      <c r="B623" s="17"/>
    </row>
    <row r="624">
      <c r="B624" s="17"/>
    </row>
    <row r="625">
      <c r="B625" s="17"/>
    </row>
    <row r="626">
      <c r="B626" s="17"/>
    </row>
    <row r="627">
      <c r="B627" s="17"/>
    </row>
    <row r="628">
      <c r="B628" s="17"/>
    </row>
    <row r="629">
      <c r="B629" s="17"/>
    </row>
    <row r="630">
      <c r="B630" s="17"/>
    </row>
    <row r="631">
      <c r="B631" s="17"/>
    </row>
    <row r="632">
      <c r="B632" s="17"/>
    </row>
    <row r="633">
      <c r="B633" s="17"/>
    </row>
    <row r="634">
      <c r="B634" s="17"/>
    </row>
    <row r="635">
      <c r="B635" s="17"/>
    </row>
    <row r="636">
      <c r="B636" s="17"/>
    </row>
    <row r="637">
      <c r="B637" s="17"/>
    </row>
    <row r="638">
      <c r="B638" s="17"/>
    </row>
    <row r="639">
      <c r="B639" s="17"/>
    </row>
    <row r="640">
      <c r="B640" s="17"/>
    </row>
    <row r="641">
      <c r="B641" s="17"/>
    </row>
    <row r="642">
      <c r="B642" s="17"/>
    </row>
    <row r="643">
      <c r="B643" s="17"/>
    </row>
    <row r="644">
      <c r="B644" s="17"/>
    </row>
    <row r="645">
      <c r="B645" s="17"/>
    </row>
    <row r="646">
      <c r="B646" s="17"/>
    </row>
    <row r="647">
      <c r="B647" s="17"/>
    </row>
    <row r="648">
      <c r="B648" s="17"/>
    </row>
    <row r="649">
      <c r="B649" s="17"/>
    </row>
    <row r="650">
      <c r="B650" s="17"/>
    </row>
    <row r="651">
      <c r="B651" s="17"/>
    </row>
    <row r="652">
      <c r="B652" s="17"/>
    </row>
    <row r="653">
      <c r="B653" s="17"/>
    </row>
    <row r="654">
      <c r="B654" s="17"/>
    </row>
    <row r="655">
      <c r="B655" s="17"/>
    </row>
    <row r="656">
      <c r="B656" s="17"/>
    </row>
    <row r="657">
      <c r="B657" s="17"/>
    </row>
    <row r="658">
      <c r="B658" s="17"/>
    </row>
    <row r="659">
      <c r="B659" s="17"/>
    </row>
    <row r="660">
      <c r="B660" s="17"/>
    </row>
    <row r="661">
      <c r="B661" s="17"/>
    </row>
    <row r="662">
      <c r="B662" s="17"/>
    </row>
    <row r="663">
      <c r="B663" s="17"/>
    </row>
    <row r="664">
      <c r="B664" s="17"/>
    </row>
    <row r="665">
      <c r="B665" s="17"/>
    </row>
    <row r="666">
      <c r="B666" s="17"/>
    </row>
    <row r="667">
      <c r="B667" s="17"/>
    </row>
    <row r="668">
      <c r="B668" s="17"/>
    </row>
    <row r="669">
      <c r="B669" s="17"/>
    </row>
    <row r="670">
      <c r="B670" s="17"/>
    </row>
    <row r="671">
      <c r="B671" s="17"/>
    </row>
    <row r="672">
      <c r="B672" s="17"/>
    </row>
    <row r="673">
      <c r="B673" s="17"/>
    </row>
    <row r="674">
      <c r="B674" s="17"/>
    </row>
    <row r="675">
      <c r="B675" s="17"/>
    </row>
    <row r="676">
      <c r="B676" s="17"/>
    </row>
    <row r="677">
      <c r="B677" s="17"/>
    </row>
    <row r="678">
      <c r="B678" s="17"/>
    </row>
    <row r="679">
      <c r="B679" s="17"/>
    </row>
    <row r="680">
      <c r="B680" s="17"/>
    </row>
    <row r="681">
      <c r="B681" s="17"/>
    </row>
    <row r="682">
      <c r="B682" s="17"/>
    </row>
    <row r="683">
      <c r="B683" s="17"/>
    </row>
    <row r="684">
      <c r="B684" s="17"/>
    </row>
    <row r="685">
      <c r="B685" s="17"/>
    </row>
    <row r="686">
      <c r="B686" s="17"/>
    </row>
    <row r="687">
      <c r="B687" s="17"/>
    </row>
    <row r="688">
      <c r="B688" s="17"/>
    </row>
    <row r="689">
      <c r="B689" s="17"/>
    </row>
    <row r="690">
      <c r="B690" s="17"/>
    </row>
    <row r="691">
      <c r="B691" s="17"/>
    </row>
    <row r="692">
      <c r="B692" s="17"/>
    </row>
    <row r="693">
      <c r="B693" s="17"/>
    </row>
    <row r="694">
      <c r="B694" s="17"/>
    </row>
    <row r="695">
      <c r="B695" s="17"/>
    </row>
    <row r="696">
      <c r="B696" s="17"/>
    </row>
    <row r="697">
      <c r="B697" s="17"/>
    </row>
    <row r="698">
      <c r="B698" s="17"/>
    </row>
    <row r="699">
      <c r="B699" s="17"/>
    </row>
    <row r="700">
      <c r="B700" s="17"/>
    </row>
    <row r="701">
      <c r="B701" s="17"/>
    </row>
    <row r="702">
      <c r="B702" s="17"/>
    </row>
    <row r="703">
      <c r="B703" s="17"/>
    </row>
    <row r="704">
      <c r="B704" s="17"/>
    </row>
    <row r="705">
      <c r="B705" s="17"/>
    </row>
    <row r="706">
      <c r="B706" s="17"/>
    </row>
    <row r="707">
      <c r="B707" s="17"/>
    </row>
    <row r="708">
      <c r="B708" s="17"/>
    </row>
    <row r="709">
      <c r="B709" s="17"/>
    </row>
    <row r="710">
      <c r="B710" s="17"/>
    </row>
    <row r="711">
      <c r="B711" s="17"/>
    </row>
    <row r="712">
      <c r="B712" s="17"/>
    </row>
    <row r="713">
      <c r="B713" s="17"/>
    </row>
    <row r="714">
      <c r="B714" s="17"/>
    </row>
    <row r="715">
      <c r="B715" s="17"/>
    </row>
    <row r="716">
      <c r="B716" s="17"/>
    </row>
    <row r="717">
      <c r="B717" s="17"/>
    </row>
    <row r="718">
      <c r="B718" s="17"/>
    </row>
    <row r="719">
      <c r="B719" s="17"/>
    </row>
    <row r="720">
      <c r="B720" s="17"/>
    </row>
    <row r="721">
      <c r="B721" s="17"/>
    </row>
    <row r="722">
      <c r="B722" s="17"/>
    </row>
    <row r="723">
      <c r="B723" s="17"/>
    </row>
    <row r="724">
      <c r="B724" s="17"/>
    </row>
    <row r="725">
      <c r="B725" s="17"/>
    </row>
    <row r="726">
      <c r="B726" s="17"/>
    </row>
    <row r="727">
      <c r="B727" s="17"/>
    </row>
    <row r="728">
      <c r="B728" s="17"/>
    </row>
    <row r="729">
      <c r="B729" s="17"/>
    </row>
    <row r="730">
      <c r="B730" s="17"/>
    </row>
    <row r="731">
      <c r="B731" s="17"/>
    </row>
    <row r="732">
      <c r="B732" s="17"/>
    </row>
    <row r="733">
      <c r="B733" s="17"/>
    </row>
    <row r="734">
      <c r="B734" s="17"/>
    </row>
    <row r="735">
      <c r="B735" s="17"/>
    </row>
    <row r="736">
      <c r="B736" s="17"/>
    </row>
    <row r="737">
      <c r="B737" s="17"/>
    </row>
    <row r="738">
      <c r="B738" s="17"/>
    </row>
    <row r="739">
      <c r="B739" s="17"/>
    </row>
    <row r="740">
      <c r="B740" s="17"/>
    </row>
    <row r="741">
      <c r="B741" s="17"/>
    </row>
    <row r="742">
      <c r="B742" s="17"/>
    </row>
    <row r="743">
      <c r="B743" s="17"/>
    </row>
    <row r="744">
      <c r="B744" s="17"/>
    </row>
    <row r="745">
      <c r="B745" s="17"/>
    </row>
    <row r="746">
      <c r="B746" s="17"/>
    </row>
    <row r="747">
      <c r="B747" s="17"/>
    </row>
    <row r="748">
      <c r="B748" s="17"/>
    </row>
    <row r="749">
      <c r="B749" s="17"/>
    </row>
    <row r="750">
      <c r="B750" s="17"/>
    </row>
    <row r="751">
      <c r="B751" s="17"/>
    </row>
    <row r="752">
      <c r="B752" s="17"/>
    </row>
    <row r="753">
      <c r="B753" s="17"/>
    </row>
    <row r="754">
      <c r="B754" s="17"/>
    </row>
    <row r="755">
      <c r="B755" s="17"/>
    </row>
    <row r="756">
      <c r="B756" s="17"/>
    </row>
    <row r="757">
      <c r="B757" s="17"/>
    </row>
    <row r="758">
      <c r="B758" s="17"/>
    </row>
    <row r="759">
      <c r="B759" s="17"/>
    </row>
    <row r="760">
      <c r="B760" s="17"/>
    </row>
    <row r="761">
      <c r="B761" s="17"/>
    </row>
    <row r="762">
      <c r="B762" s="17"/>
    </row>
    <row r="763">
      <c r="B763" s="17"/>
    </row>
    <row r="764">
      <c r="B764" s="17"/>
    </row>
    <row r="765">
      <c r="B765" s="17"/>
    </row>
    <row r="766">
      <c r="B766" s="17"/>
    </row>
    <row r="767">
      <c r="B767" s="17"/>
    </row>
    <row r="768">
      <c r="B768" s="17"/>
    </row>
    <row r="769">
      <c r="B769" s="17"/>
    </row>
    <row r="770">
      <c r="B770" s="17"/>
    </row>
    <row r="771">
      <c r="B771" s="17"/>
    </row>
    <row r="772">
      <c r="B772" s="17"/>
    </row>
    <row r="773">
      <c r="B773" s="17"/>
    </row>
    <row r="774">
      <c r="B774" s="17"/>
    </row>
    <row r="775">
      <c r="B775" s="17"/>
    </row>
    <row r="776">
      <c r="B776" s="17"/>
    </row>
    <row r="777">
      <c r="B777" s="17"/>
    </row>
    <row r="778">
      <c r="B778" s="17"/>
    </row>
    <row r="779">
      <c r="B779" s="17"/>
    </row>
    <row r="780">
      <c r="B780" s="17"/>
    </row>
    <row r="781">
      <c r="B781" s="17"/>
    </row>
    <row r="782">
      <c r="B782" s="17"/>
    </row>
    <row r="783">
      <c r="B783" s="17"/>
    </row>
    <row r="784">
      <c r="B784" s="17"/>
    </row>
    <row r="785">
      <c r="B785" s="17"/>
    </row>
    <row r="786">
      <c r="B786" s="17"/>
    </row>
    <row r="787">
      <c r="B787" s="17"/>
    </row>
    <row r="788">
      <c r="B788" s="17"/>
    </row>
    <row r="789">
      <c r="B789" s="17"/>
    </row>
    <row r="790">
      <c r="B790" s="17"/>
    </row>
    <row r="791">
      <c r="B791" s="17"/>
    </row>
    <row r="792">
      <c r="B792" s="17"/>
    </row>
    <row r="793">
      <c r="B793" s="17"/>
    </row>
    <row r="794">
      <c r="B794" s="17"/>
    </row>
    <row r="795">
      <c r="B795" s="17"/>
    </row>
    <row r="796">
      <c r="B796" s="17"/>
    </row>
    <row r="797">
      <c r="B797" s="17"/>
    </row>
    <row r="798">
      <c r="B798" s="17"/>
    </row>
    <row r="799">
      <c r="B799" s="17"/>
    </row>
    <row r="800">
      <c r="B800" s="17"/>
    </row>
    <row r="801">
      <c r="B801" s="17"/>
    </row>
    <row r="802">
      <c r="B802" s="17"/>
    </row>
    <row r="803">
      <c r="B803" s="17"/>
    </row>
    <row r="804">
      <c r="B804" s="17"/>
    </row>
    <row r="805">
      <c r="B805" s="17"/>
    </row>
    <row r="806">
      <c r="B806" s="17"/>
    </row>
    <row r="807">
      <c r="B807" s="17"/>
    </row>
    <row r="808">
      <c r="B808" s="17"/>
    </row>
    <row r="809">
      <c r="B809" s="17"/>
    </row>
    <row r="810">
      <c r="B810" s="17"/>
    </row>
    <row r="811">
      <c r="B811" s="17"/>
    </row>
    <row r="812">
      <c r="B812" s="17"/>
    </row>
    <row r="813">
      <c r="B813" s="17"/>
    </row>
    <row r="814">
      <c r="B814" s="17"/>
    </row>
    <row r="815">
      <c r="B815" s="17"/>
    </row>
    <row r="816">
      <c r="B816" s="17"/>
    </row>
    <row r="817">
      <c r="B817" s="17"/>
    </row>
    <row r="818">
      <c r="B818" s="17"/>
    </row>
    <row r="819">
      <c r="B819" s="17"/>
    </row>
    <row r="820">
      <c r="B820" s="17"/>
    </row>
    <row r="821">
      <c r="B821" s="17"/>
    </row>
    <row r="822">
      <c r="B822" s="17"/>
    </row>
    <row r="823">
      <c r="B823" s="17"/>
    </row>
    <row r="824">
      <c r="B824" s="17"/>
    </row>
    <row r="825">
      <c r="B825" s="17"/>
    </row>
    <row r="826">
      <c r="B826" s="17"/>
    </row>
    <row r="827">
      <c r="B827" s="17"/>
    </row>
    <row r="828">
      <c r="B828" s="17"/>
    </row>
    <row r="829">
      <c r="B829" s="17"/>
    </row>
    <row r="830">
      <c r="B830" s="17"/>
    </row>
    <row r="831">
      <c r="B831" s="17"/>
    </row>
    <row r="832">
      <c r="B832" s="17"/>
    </row>
    <row r="833">
      <c r="B833" s="17"/>
    </row>
    <row r="834">
      <c r="B834" s="17"/>
    </row>
    <row r="835">
      <c r="B835" s="17"/>
    </row>
    <row r="836">
      <c r="B836" s="17"/>
    </row>
    <row r="837">
      <c r="B837" s="17"/>
    </row>
    <row r="838">
      <c r="B838" s="17"/>
    </row>
    <row r="839">
      <c r="B839" s="17"/>
    </row>
    <row r="840">
      <c r="B840" s="17"/>
    </row>
    <row r="841">
      <c r="B841" s="17"/>
    </row>
    <row r="842">
      <c r="B842" s="17"/>
    </row>
    <row r="843">
      <c r="B843" s="17"/>
    </row>
    <row r="844">
      <c r="B844" s="17"/>
    </row>
    <row r="845">
      <c r="B845" s="17"/>
    </row>
    <row r="846">
      <c r="B846" s="17"/>
    </row>
    <row r="847">
      <c r="B847" s="17"/>
    </row>
    <row r="848">
      <c r="B848" s="17"/>
    </row>
    <row r="849">
      <c r="B849" s="17"/>
    </row>
    <row r="850">
      <c r="B850" s="17"/>
    </row>
    <row r="851">
      <c r="B851" s="17"/>
    </row>
    <row r="852">
      <c r="B852" s="17"/>
    </row>
    <row r="853">
      <c r="B853" s="17"/>
    </row>
    <row r="854">
      <c r="B854" s="17"/>
    </row>
    <row r="855">
      <c r="B855" s="17"/>
    </row>
    <row r="856">
      <c r="B856" s="17"/>
    </row>
    <row r="857">
      <c r="B857" s="17"/>
    </row>
    <row r="858">
      <c r="B858" s="17"/>
    </row>
    <row r="859">
      <c r="B859" s="17"/>
    </row>
    <row r="860">
      <c r="B860" s="17"/>
    </row>
    <row r="861">
      <c r="B861" s="17"/>
    </row>
    <row r="862">
      <c r="B862" s="17"/>
    </row>
    <row r="863">
      <c r="B863" s="17"/>
    </row>
    <row r="864">
      <c r="B864" s="17"/>
    </row>
    <row r="865">
      <c r="B865" s="17"/>
    </row>
    <row r="866">
      <c r="B866" s="17"/>
    </row>
    <row r="867">
      <c r="B867" s="17"/>
    </row>
    <row r="868">
      <c r="B868" s="17"/>
    </row>
    <row r="869">
      <c r="B869" s="17"/>
    </row>
    <row r="870">
      <c r="B870" s="17"/>
    </row>
    <row r="871">
      <c r="B871" s="17"/>
    </row>
    <row r="872">
      <c r="B872" s="17"/>
    </row>
    <row r="873">
      <c r="B873" s="17"/>
    </row>
    <row r="874">
      <c r="B874" s="17"/>
    </row>
    <row r="875">
      <c r="B875" s="17"/>
    </row>
    <row r="876">
      <c r="B876" s="17"/>
    </row>
    <row r="877">
      <c r="B877" s="17"/>
    </row>
    <row r="878">
      <c r="B878" s="17"/>
    </row>
    <row r="879">
      <c r="B879" s="17"/>
    </row>
    <row r="880">
      <c r="B880" s="17"/>
    </row>
    <row r="881">
      <c r="B881" s="17"/>
    </row>
    <row r="882">
      <c r="B882" s="17"/>
    </row>
    <row r="883">
      <c r="B883" s="17"/>
    </row>
    <row r="884">
      <c r="B884" s="17"/>
    </row>
    <row r="885">
      <c r="B885" s="17"/>
    </row>
    <row r="886">
      <c r="B886" s="17"/>
    </row>
    <row r="887">
      <c r="B887" s="17"/>
    </row>
    <row r="888">
      <c r="B888" s="17"/>
    </row>
    <row r="889">
      <c r="B889" s="17"/>
    </row>
    <row r="890">
      <c r="B890" s="17"/>
    </row>
    <row r="891">
      <c r="B891" s="17"/>
    </row>
    <row r="892">
      <c r="B892" s="17"/>
    </row>
    <row r="893">
      <c r="B893" s="17"/>
    </row>
    <row r="894">
      <c r="B894" s="17"/>
    </row>
    <row r="895">
      <c r="B895" s="17"/>
    </row>
    <row r="896">
      <c r="B896" s="17"/>
    </row>
    <row r="897">
      <c r="B897" s="17"/>
    </row>
    <row r="898">
      <c r="B898" s="17"/>
    </row>
    <row r="899">
      <c r="B899" s="17"/>
    </row>
    <row r="900">
      <c r="B900" s="17"/>
    </row>
    <row r="901">
      <c r="B901" s="17"/>
    </row>
    <row r="902">
      <c r="B902" s="17"/>
    </row>
    <row r="903">
      <c r="B903" s="17"/>
    </row>
    <row r="904">
      <c r="B904" s="17"/>
    </row>
    <row r="905">
      <c r="B905" s="17"/>
    </row>
    <row r="906">
      <c r="B906" s="17"/>
    </row>
    <row r="907">
      <c r="B907" s="17"/>
    </row>
    <row r="908">
      <c r="B908" s="17"/>
    </row>
    <row r="909">
      <c r="B909" s="17"/>
    </row>
    <row r="910">
      <c r="B910" s="17"/>
    </row>
    <row r="911">
      <c r="B911" s="17"/>
    </row>
    <row r="912">
      <c r="B912" s="17"/>
    </row>
    <row r="913">
      <c r="B913" s="17"/>
    </row>
    <row r="914">
      <c r="B914" s="17"/>
    </row>
    <row r="915">
      <c r="B915" s="17"/>
    </row>
    <row r="916">
      <c r="B916" s="17"/>
    </row>
    <row r="917">
      <c r="B917" s="17"/>
    </row>
    <row r="918">
      <c r="B918" s="17"/>
    </row>
    <row r="919">
      <c r="B919" s="17"/>
    </row>
    <row r="920">
      <c r="B920" s="17"/>
    </row>
    <row r="921">
      <c r="B921" s="17"/>
    </row>
    <row r="922">
      <c r="B922" s="17"/>
    </row>
    <row r="923">
      <c r="B923" s="17"/>
    </row>
    <row r="924">
      <c r="B924" s="17"/>
    </row>
    <row r="925">
      <c r="B925" s="17"/>
    </row>
    <row r="926">
      <c r="B926" s="17"/>
    </row>
    <row r="927">
      <c r="B927" s="17"/>
    </row>
    <row r="928">
      <c r="B928" s="17"/>
    </row>
    <row r="929">
      <c r="B929" s="17"/>
    </row>
    <row r="930">
      <c r="B930" s="17"/>
    </row>
    <row r="931">
      <c r="B931" s="17"/>
    </row>
    <row r="932">
      <c r="B932" s="17"/>
    </row>
    <row r="933">
      <c r="B933" s="17"/>
    </row>
    <row r="934">
      <c r="B934" s="17"/>
    </row>
    <row r="935">
      <c r="B935" s="17"/>
    </row>
    <row r="936">
      <c r="B936" s="17"/>
    </row>
    <row r="937">
      <c r="B937" s="17"/>
    </row>
    <row r="938">
      <c r="B938" s="17"/>
    </row>
    <row r="939">
      <c r="B939" s="17"/>
    </row>
    <row r="940">
      <c r="B940" s="17"/>
    </row>
    <row r="941">
      <c r="B941" s="17"/>
    </row>
    <row r="942">
      <c r="B942" s="17"/>
    </row>
    <row r="943">
      <c r="B943" s="17"/>
    </row>
    <row r="944">
      <c r="B944" s="17"/>
    </row>
    <row r="945">
      <c r="B945" s="17"/>
    </row>
    <row r="946">
      <c r="B946" s="17"/>
    </row>
    <row r="947">
      <c r="B947" s="17"/>
    </row>
    <row r="948">
      <c r="B948" s="17"/>
    </row>
    <row r="949">
      <c r="B949" s="17"/>
    </row>
    <row r="950">
      <c r="B950" s="17"/>
    </row>
    <row r="951">
      <c r="B951" s="17"/>
    </row>
    <row r="952">
      <c r="B952" s="17"/>
    </row>
    <row r="953">
      <c r="B953" s="17"/>
    </row>
    <row r="954">
      <c r="B954" s="17"/>
    </row>
    <row r="955">
      <c r="B955" s="17"/>
    </row>
    <row r="956">
      <c r="B956" s="17"/>
    </row>
    <row r="957">
      <c r="B957" s="17"/>
    </row>
    <row r="958">
      <c r="B958" s="17"/>
    </row>
    <row r="959">
      <c r="B959" s="17"/>
    </row>
    <row r="960">
      <c r="B960" s="17"/>
    </row>
    <row r="961">
      <c r="B961" s="17"/>
    </row>
    <row r="962">
      <c r="B962" s="17"/>
    </row>
    <row r="963">
      <c r="B963" s="17"/>
    </row>
    <row r="964">
      <c r="B964" s="17"/>
    </row>
    <row r="965">
      <c r="B965" s="17"/>
    </row>
    <row r="966">
      <c r="B966" s="17"/>
    </row>
    <row r="967">
      <c r="B967" s="17"/>
    </row>
    <row r="968">
      <c r="B968" s="17"/>
    </row>
    <row r="969">
      <c r="B969" s="17"/>
    </row>
    <row r="970">
      <c r="B970" s="17"/>
    </row>
    <row r="971">
      <c r="B971" s="17"/>
    </row>
    <row r="972">
      <c r="B972" s="17"/>
    </row>
    <row r="973">
      <c r="B973" s="17"/>
    </row>
    <row r="974">
      <c r="B974" s="17"/>
    </row>
    <row r="975">
      <c r="B975" s="17"/>
    </row>
    <row r="976">
      <c r="B976" s="17"/>
    </row>
    <row r="977">
      <c r="B977" s="17"/>
    </row>
    <row r="978">
      <c r="B978" s="17"/>
    </row>
    <row r="979">
      <c r="B979" s="17"/>
    </row>
    <row r="980">
      <c r="B980" s="17"/>
    </row>
    <row r="981">
      <c r="B981" s="17"/>
    </row>
    <row r="982">
      <c r="B982" s="17"/>
    </row>
    <row r="983">
      <c r="B983" s="17"/>
    </row>
    <row r="984">
      <c r="B984" s="17"/>
    </row>
    <row r="985">
      <c r="B985" s="17"/>
    </row>
    <row r="986">
      <c r="B986" s="17"/>
    </row>
    <row r="987">
      <c r="B987" s="17"/>
    </row>
    <row r="988">
      <c r="B988" s="17"/>
    </row>
    <row r="989">
      <c r="B989" s="17"/>
    </row>
    <row r="990">
      <c r="B990" s="17"/>
    </row>
    <row r="991">
      <c r="B991" s="17"/>
    </row>
    <row r="992">
      <c r="B992" s="17"/>
    </row>
    <row r="993">
      <c r="B993" s="17"/>
    </row>
    <row r="994">
      <c r="B994" s="17"/>
    </row>
    <row r="995">
      <c r="B995" s="17"/>
    </row>
    <row r="996">
      <c r="B996" s="17"/>
    </row>
    <row r="997">
      <c r="B997" s="17"/>
    </row>
    <row r="998">
      <c r="B998" s="17"/>
    </row>
    <row r="999">
      <c r="B999" s="17"/>
    </row>
    <row r="1000">
      <c r="B1000" s="17"/>
    </row>
  </sheetData>
  <conditionalFormatting sqref="D4">
    <cfRule type="cellIs" dxfId="0" priority="1" operator="lessThan">
      <formula>0</formula>
    </cfRule>
  </conditionalFormatting>
  <conditionalFormatting sqref="D4">
    <cfRule type="cellIs" dxfId="0" priority="2" operator="greaterThanOrEqual">
      <formula>1</formula>
    </cfRule>
  </conditionalFormatting>
  <conditionalFormatting sqref="D5:D9">
    <cfRule type="cellIs" dxfId="0" priority="3" operator="lessThanOrEqual">
      <formula>4</formula>
    </cfRule>
  </conditionalFormatting>
  <conditionalFormatting sqref="D10">
    <cfRule type="cellIs" dxfId="0" priority="4" operator="lessThanOrEqual">
      <formula>0</formula>
    </cfRule>
  </conditionalFormatting>
  <conditionalFormatting sqref="D10">
    <cfRule type="cellIs" dxfId="0" priority="5" operator="greaterThan">
      <formula>1</formula>
    </cfRule>
  </conditionalFormatting>
  <conditionalFormatting sqref="D23">
    <cfRule type="cellIs" dxfId="0" priority="6" operator="lessThan">
      <formula>0</formula>
    </cfRule>
  </conditionalFormatting>
  <conditionalFormatting sqref="D23">
    <cfRule type="cellIs" dxfId="0" priority="7" operator="greaterThan">
      <formula>90</formula>
    </cfRule>
  </conditionalFormatting>
  <conditionalFormatting sqref="D24:D25">
    <cfRule type="cellIs" dxfId="0" priority="8" operator="lessThanOrEqual">
      <formula>0</formula>
    </cfRule>
  </conditionalFormatting>
  <conditionalFormatting sqref="D24:D25">
    <cfRule type="cellIs" dxfId="0" priority="9" operator="greaterThan">
      <formula>1000</formula>
    </cfRule>
  </conditionalFormatting>
  <conditionalFormatting sqref="D27:D28">
    <cfRule type="cellIs" dxfId="0" priority="10" operator="lessThanOrEqual">
      <formula>0</formula>
    </cfRule>
  </conditionalFormatting>
  <conditionalFormatting sqref="D4:E10 D23:D25 E23:E28 D27:D28">
    <cfRule type="expression" dxfId="0" priority="11">
      <formula>istext(Sheet1!D4)</formula>
    </cfRule>
  </conditionalFormatting>
  <conditionalFormatting sqref="D5:D9">
    <cfRule type="cellIs" dxfId="0" priority="12" operator="greaterThanOrEqual">
      <formula>12</formula>
    </cfRule>
  </conditionalFormatting>
  <dataValidations>
    <dataValidation type="list" allowBlank="1" showErrorMessage="1" sqref="F4:F10 F23:F28">
      <formula1>"Assumed,Upper limit,Lower limit,Gaussian,Two sided,Range,Representative"</formula1>
    </dataValidation>
    <dataValidation type="list" allowBlank="1" showErrorMessage="1" sqref="D15">
      <formula1>Sheet1!$B$50:$B$63</formula1>
    </dataValidation>
    <dataValidation type="list" allowBlank="1" showErrorMessage="1" sqref="D13 D16 D19 D22">
      <formula1>"gamma-ray,X-ray,UV,Optical,IR,Radio"</formula1>
    </dataValidation>
    <dataValidation type="list" allowBlank="1" showErrorMessage="1" sqref="D11 D14 D17 D20">
      <formula1>Sheet1!$A$37:$J$37</formula1>
    </dataValidation>
    <dataValidation type="list" allowBlank="1" showErrorMessage="1" sqref="D18">
      <formula1>Sheet1!$C$50:$C$66</formula1>
    </dataValidation>
    <dataValidation type="list" allowBlank="1" showErrorMessage="1" sqref="D21">
      <formula1>Sheet1!$D$50:$D$64</formula1>
    </dataValidation>
    <dataValidation type="list" allowBlank="1" showErrorMessage="1" sqref="D12">
      <formula1>Sheet1!$A$50:$A$63</formula1>
    </dataValidation>
  </dataValidations>
  <hyperlinks>
    <hyperlink r:id="rId1" ref="D2"/>
    <hyperlink r:id="rId2" ref="A36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140</v>
      </c>
      <c r="B1" s="1" t="s">
        <v>141</v>
      </c>
      <c r="C1" s="1" t="s">
        <v>142</v>
      </c>
      <c r="D1" s="1" t="s">
        <v>143</v>
      </c>
    </row>
    <row r="2">
      <c r="A2" s="8" t="s">
        <v>144</v>
      </c>
      <c r="B2" s="4" t="s">
        <v>0</v>
      </c>
      <c r="C2" s="7" t="s">
        <v>145</v>
      </c>
    </row>
    <row r="3">
      <c r="A3" s="8" t="s">
        <v>144</v>
      </c>
      <c r="B3" s="32" t="s">
        <v>146</v>
      </c>
      <c r="C3" s="4" t="s">
        <v>147</v>
      </c>
    </row>
    <row r="4">
      <c r="A4" s="8" t="s">
        <v>144</v>
      </c>
      <c r="B4" s="33" t="s">
        <v>148</v>
      </c>
      <c r="C4" s="4">
        <v>35.79755</v>
      </c>
      <c r="D4" s="34" t="s">
        <v>149</v>
      </c>
    </row>
    <row r="5">
      <c r="A5" s="8" t="s">
        <v>144</v>
      </c>
      <c r="B5" s="33" t="s">
        <v>150</v>
      </c>
      <c r="C5" s="4">
        <v>42.99205</v>
      </c>
      <c r="D5" s="34" t="s">
        <v>149</v>
      </c>
      <c r="H5" s="35" t="s">
        <v>151</v>
      </c>
      <c r="I5" s="36"/>
      <c r="J5" s="36"/>
      <c r="K5" s="36"/>
      <c r="L5" s="36"/>
    </row>
    <row r="6">
      <c r="A6" s="8" t="s">
        <v>144</v>
      </c>
      <c r="B6" s="33" t="s">
        <v>152</v>
      </c>
      <c r="C6" s="4">
        <v>0.0209</v>
      </c>
      <c r="D6" s="34" t="s">
        <v>149</v>
      </c>
      <c r="H6" s="37" t="s">
        <v>153</v>
      </c>
      <c r="I6" s="36"/>
      <c r="J6" s="36"/>
      <c r="K6" s="36"/>
      <c r="L6" s="36"/>
    </row>
    <row r="7">
      <c r="A7" s="8" t="s">
        <v>144</v>
      </c>
      <c r="B7" s="33" t="s">
        <v>154</v>
      </c>
      <c r="C7" s="4">
        <v>90.4</v>
      </c>
      <c r="D7" s="34" t="s">
        <v>149</v>
      </c>
      <c r="H7" s="37" t="s">
        <v>155</v>
      </c>
      <c r="I7" s="36"/>
      <c r="J7" s="36"/>
      <c r="K7" s="36"/>
      <c r="L7" s="36"/>
    </row>
    <row r="8">
      <c r="A8" s="8" t="s">
        <v>144</v>
      </c>
      <c r="B8" s="33" t="s">
        <v>156</v>
      </c>
      <c r="C8" s="4" t="s">
        <v>157</v>
      </c>
      <c r="H8" s="37" t="s">
        <v>158</v>
      </c>
      <c r="I8" s="36"/>
      <c r="J8" s="36"/>
      <c r="K8" s="36"/>
      <c r="L8" s="36"/>
    </row>
    <row r="9">
      <c r="A9" s="8" t="s">
        <v>144</v>
      </c>
      <c r="B9" s="33" t="s">
        <v>159</v>
      </c>
      <c r="C9" s="4" t="s">
        <v>147</v>
      </c>
      <c r="H9" s="37" t="s">
        <v>160</v>
      </c>
      <c r="I9" s="36"/>
      <c r="J9" s="36"/>
      <c r="K9" s="36"/>
      <c r="L9" s="36"/>
    </row>
    <row r="10">
      <c r="A10" s="8" t="s">
        <v>161</v>
      </c>
      <c r="B10" s="38" t="s">
        <v>162</v>
      </c>
      <c r="C10" s="4" t="s">
        <v>147</v>
      </c>
    </row>
    <row r="11">
      <c r="A11" s="8" t="s">
        <v>161</v>
      </c>
      <c r="B11" s="33" t="s">
        <v>159</v>
      </c>
      <c r="C11" s="4" t="s">
        <v>147</v>
      </c>
    </row>
    <row r="12">
      <c r="A12" s="8" t="s">
        <v>161</v>
      </c>
      <c r="B12" s="33" t="s">
        <v>146</v>
      </c>
      <c r="C12" s="4" t="s">
        <v>147</v>
      </c>
    </row>
    <row r="13">
      <c r="A13" s="8" t="s">
        <v>161</v>
      </c>
      <c r="B13" s="33" t="s">
        <v>163</v>
      </c>
      <c r="C13" s="4" t="s">
        <v>147</v>
      </c>
    </row>
    <row r="14">
      <c r="A14" s="8" t="s">
        <v>161</v>
      </c>
      <c r="B14" s="33" t="s">
        <v>164</v>
      </c>
      <c r="C14" s="4" t="s">
        <v>165</v>
      </c>
    </row>
    <row r="15">
      <c r="A15" s="8" t="s">
        <v>161</v>
      </c>
      <c r="B15" s="33" t="s">
        <v>166</v>
      </c>
      <c r="C15" s="4" t="s">
        <v>157</v>
      </c>
    </row>
    <row r="16">
      <c r="A16" s="8" t="s">
        <v>161</v>
      </c>
      <c r="B16" s="33" t="s">
        <v>167</v>
      </c>
      <c r="C16" s="31">
        <f>Sheet1!D5</f>
        <v>9.079181246</v>
      </c>
      <c r="D16" s="34" t="s">
        <v>149</v>
      </c>
    </row>
    <row r="17">
      <c r="A17" s="8" t="s">
        <v>161</v>
      </c>
      <c r="B17" s="33" t="s">
        <v>168</v>
      </c>
      <c r="C17" s="31">
        <f>Sheet1!D6</f>
        <v>8.84509804</v>
      </c>
      <c r="D17" s="34" t="s">
        <v>149</v>
      </c>
    </row>
    <row r="18">
      <c r="A18" s="8" t="s">
        <v>161</v>
      </c>
      <c r="B18" s="33" t="s">
        <v>169</v>
      </c>
      <c r="C18" s="31">
        <f>Sheet1!D7</f>
        <v>9.278753601</v>
      </c>
      <c r="D18" s="34" t="s">
        <v>149</v>
      </c>
    </row>
    <row r="19">
      <c r="A19" s="8" t="s">
        <v>161</v>
      </c>
      <c r="B19" s="33" t="s">
        <v>170</v>
      </c>
      <c r="C19" s="31">
        <f>LOG10((((10^C16)*(10^C17))^(3/5))/(((10^C16)+(10^C17))^(1/5)))</f>
        <v>8.898816851</v>
      </c>
      <c r="D19" s="34" t="s">
        <v>149</v>
      </c>
    </row>
    <row r="20">
      <c r="A20" s="8" t="s">
        <v>161</v>
      </c>
      <c r="B20" s="33" t="s">
        <v>171</v>
      </c>
      <c r="C20" s="31">
        <f>log10(((10^C16)*(10^C17))/((10^C16)+(10^C17)))</f>
        <v>8.645525685</v>
      </c>
      <c r="D20" s="34" t="s">
        <v>149</v>
      </c>
    </row>
    <row r="21">
      <c r="A21" s="8" t="s">
        <v>161</v>
      </c>
      <c r="B21" s="33" t="s">
        <v>41</v>
      </c>
      <c r="C21" s="31">
        <f>(10^C17)/(10^C16)</f>
        <v>0.5833333333</v>
      </c>
      <c r="D21" s="34" t="s">
        <v>149</v>
      </c>
    </row>
    <row r="22">
      <c r="A22" s="8" t="s">
        <v>161</v>
      </c>
      <c r="B22" s="33" t="s">
        <v>68</v>
      </c>
      <c r="C22" s="4" t="s">
        <v>157</v>
      </c>
    </row>
    <row r="23">
      <c r="A23" s="8" t="s">
        <v>161</v>
      </c>
      <c r="B23" s="33" t="s">
        <v>172</v>
      </c>
      <c r="C23" s="12">
        <f>0.0061</f>
        <v>0.0061</v>
      </c>
      <c r="D23" s="34" t="s">
        <v>149</v>
      </c>
    </row>
    <row r="24">
      <c r="A24" s="8" t="s">
        <v>161</v>
      </c>
      <c r="B24" s="33" t="s">
        <v>78</v>
      </c>
      <c r="C24" s="4" t="s">
        <v>157</v>
      </c>
      <c r="D24" s="7"/>
    </row>
    <row r="25">
      <c r="A25" s="8" t="s">
        <v>161</v>
      </c>
      <c r="B25" s="33" t="s">
        <v>173</v>
      </c>
      <c r="C25" s="10">
        <f>1.05*365.25</f>
        <v>383.5125</v>
      </c>
      <c r="D25" s="34" t="s">
        <v>149</v>
      </c>
    </row>
    <row r="26">
      <c r="A26" s="8" t="s">
        <v>161</v>
      </c>
      <c r="B26" s="33" t="s">
        <v>174</v>
      </c>
      <c r="C26" s="10">
        <v>52276.0</v>
      </c>
      <c r="D26" s="39" t="s">
        <v>149</v>
      </c>
    </row>
    <row r="27">
      <c r="A27" s="8" t="s">
        <v>161</v>
      </c>
      <c r="B27" s="33" t="s">
        <v>175</v>
      </c>
      <c r="C27" s="40">
        <v>6.86640501458543E-15</v>
      </c>
      <c r="D27" s="39" t="s">
        <v>149</v>
      </c>
    </row>
    <row r="28">
      <c r="A28" s="8" t="s">
        <v>161</v>
      </c>
      <c r="B28" s="33" t="s">
        <v>176</v>
      </c>
      <c r="C28" s="41">
        <v>504.065378590874</v>
      </c>
      <c r="D28" s="39" t="s">
        <v>149</v>
      </c>
    </row>
    <row r="29">
      <c r="A29" s="8" t="s">
        <v>161</v>
      </c>
      <c r="B29" s="33" t="s">
        <v>177</v>
      </c>
      <c r="C29" s="42" t="str">
        <f>Sheet1!D29</f>
        <v>This paper discusses additional periodicity found in mm wavelength observations of 3C 66B. This periodicity is then described by a BBH model, taking into consideration previous data found for this object.</v>
      </c>
      <c r="D29" s="42"/>
    </row>
    <row r="30">
      <c r="A30" s="43" t="s">
        <v>161</v>
      </c>
      <c r="B30" s="44" t="s">
        <v>178</v>
      </c>
      <c r="C30" s="42" t="str">
        <f>Sheet1!D30</f>
        <v>It is possible that the observed periodicity is caused by binary-independent effects.</v>
      </c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>
      <c r="A31" s="43" t="s">
        <v>161</v>
      </c>
      <c r="B31" s="44" t="s">
        <v>179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45" t="s">
        <v>180</v>
      </c>
      <c r="B32" s="46" t="s">
        <v>163</v>
      </c>
      <c r="C32" s="45" t="s">
        <v>181</v>
      </c>
      <c r="D32" s="47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>
      <c r="A33" s="45" t="s">
        <v>180</v>
      </c>
      <c r="B33" s="44" t="s">
        <v>159</v>
      </c>
      <c r="C33" s="45" t="s">
        <v>147</v>
      </c>
      <c r="D33" s="47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>
      <c r="A34" s="45" t="s">
        <v>180</v>
      </c>
      <c r="B34" s="44" t="s">
        <v>182</v>
      </c>
      <c r="C34" s="45" t="s">
        <v>147</v>
      </c>
      <c r="D34" s="47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>
      <c r="A35" s="45" t="s">
        <v>180</v>
      </c>
      <c r="B35" s="44" t="s">
        <v>183</v>
      </c>
      <c r="C35" s="48" t="s">
        <v>184</v>
      </c>
      <c r="D35" s="49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>
      <c r="A36" s="45" t="s">
        <v>180</v>
      </c>
      <c r="B36" s="44" t="s">
        <v>185</v>
      </c>
      <c r="C36" s="48" t="s">
        <v>186</v>
      </c>
      <c r="D36" s="49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>
      <c r="A37" s="45" t="s">
        <v>180</v>
      </c>
      <c r="B37" s="44" t="s">
        <v>187</v>
      </c>
      <c r="C37" s="45">
        <v>2010.0</v>
      </c>
      <c r="D37" s="47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>
      <c r="A38" s="45" t="s">
        <v>180</v>
      </c>
      <c r="B38" s="44" t="s">
        <v>188</v>
      </c>
      <c r="C38" s="48">
        <v>42.0</v>
      </c>
      <c r="D38" s="48" t="s">
        <v>189</v>
      </c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>
      <c r="A40" s="50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>
      <c r="A41" s="50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>
      <c r="A42" s="50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>
      <c r="A43" s="51" t="s">
        <v>190</v>
      </c>
    </row>
    <row r="44">
      <c r="A44" s="52"/>
    </row>
    <row r="45">
      <c r="A45" s="9"/>
    </row>
    <row r="46">
      <c r="A46" s="9"/>
    </row>
    <row r="47">
      <c r="A47" s="52"/>
    </row>
    <row r="48">
      <c r="A48" s="9"/>
    </row>
    <row r="49">
      <c r="A49" s="9"/>
    </row>
    <row r="50">
      <c r="A50" s="52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</sheetData>
  <conditionalFormatting sqref="C23">
    <cfRule type="cellIs" dxfId="0" priority="1" operator="lessThanOrEqual">
      <formula>0</formula>
    </cfRule>
  </conditionalFormatting>
  <conditionalFormatting sqref="C23">
    <cfRule type="cellIs" dxfId="0" priority="2" operator="greaterThan">
      <formula>1000</formula>
    </cfRule>
  </conditionalFormatting>
  <conditionalFormatting sqref="C23 D24">
    <cfRule type="expression" dxfId="0" priority="3">
      <formula>istext('Unique Filled values'!C23)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3" t="s">
        <v>191</v>
      </c>
      <c r="B1" s="54" t="s">
        <v>192</v>
      </c>
    </row>
    <row r="2">
      <c r="A2" s="54"/>
      <c r="B2" s="55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3" t="s">
        <v>193</v>
      </c>
      <c r="B1" s="56" t="s">
        <v>194</v>
      </c>
      <c r="C1" s="57" t="s">
        <v>195</v>
      </c>
    </row>
    <row r="2">
      <c r="A2" s="56"/>
      <c r="B2" s="55"/>
      <c r="C2" s="55"/>
    </row>
    <row r="3">
      <c r="A3" s="57"/>
      <c r="B3" s="58"/>
      <c r="C3" s="58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9" t="s">
        <v>196</v>
      </c>
      <c r="B1" s="60" t="s">
        <v>162</v>
      </c>
      <c r="C1" s="59" t="s">
        <v>197</v>
      </c>
      <c r="D1" s="60" t="s">
        <v>198</v>
      </c>
      <c r="E1" s="59" t="s">
        <v>199</v>
      </c>
      <c r="F1" s="61" t="s">
        <v>200</v>
      </c>
    </row>
    <row r="2">
      <c r="A2" s="60"/>
      <c r="B2" s="55"/>
      <c r="C2" s="55"/>
      <c r="D2" s="55"/>
      <c r="E2" s="55"/>
      <c r="F2" s="55"/>
    </row>
    <row r="3">
      <c r="A3" s="59"/>
      <c r="B3" s="58"/>
      <c r="C3" s="58"/>
      <c r="D3" s="58"/>
      <c r="E3" s="58"/>
      <c r="F3" s="58"/>
    </row>
    <row r="4">
      <c r="A4" s="60"/>
      <c r="B4" s="55"/>
      <c r="C4" s="55"/>
      <c r="D4" s="55"/>
      <c r="E4" s="55"/>
      <c r="F4" s="55"/>
    </row>
    <row r="5">
      <c r="A5" s="59"/>
      <c r="B5" s="58"/>
      <c r="C5" s="58"/>
      <c r="D5" s="58"/>
      <c r="E5" s="58"/>
      <c r="F5" s="58"/>
    </row>
    <row r="6">
      <c r="A6" s="61"/>
      <c r="B6" s="55"/>
      <c r="C6" s="55"/>
      <c r="D6" s="55"/>
      <c r="E6" s="55"/>
      <c r="F6" s="55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201</v>
      </c>
      <c r="B1" s="62" t="s">
        <v>202</v>
      </c>
    </row>
    <row r="2">
      <c r="A2" s="8" t="s">
        <v>201</v>
      </c>
      <c r="B2" s="63" t="s">
        <v>162</v>
      </c>
    </row>
    <row r="3">
      <c r="A3" s="8" t="s">
        <v>201</v>
      </c>
      <c r="B3" s="64" t="s">
        <v>203</v>
      </c>
    </row>
    <row r="4">
      <c r="A4" s="8" t="s">
        <v>201</v>
      </c>
      <c r="B4" s="63" t="s">
        <v>204</v>
      </c>
    </row>
    <row r="5">
      <c r="A5" s="8" t="s">
        <v>201</v>
      </c>
      <c r="B5" s="65" t="s">
        <v>205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6" t="s">
        <v>202</v>
      </c>
      <c r="B1" s="67" t="s">
        <v>198</v>
      </c>
      <c r="C1" s="68" t="s">
        <v>199</v>
      </c>
      <c r="D1" s="69" t="s">
        <v>200</v>
      </c>
    </row>
    <row r="2">
      <c r="B2" s="70"/>
    </row>
    <row r="3">
      <c r="B3" s="67"/>
    </row>
    <row r="4">
      <c r="B4" s="68"/>
    </row>
    <row r="5">
      <c r="B5" s="69"/>
    </row>
  </sheetData>
  <drawing r:id="rId1"/>
  <tableParts count="1">
    <tablePart r:id="rId3"/>
  </tableParts>
</worksheet>
</file>